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patescalona/Projects/Excel_dashboards/CSAT_dashboard/"/>
    </mc:Choice>
  </mc:AlternateContent>
  <xr:revisionPtr revIDLastSave="0" documentId="13_ncr:1_{C183177D-C131-0A42-8BDF-1BDB0CD1943B}" xr6:coauthVersionLast="47" xr6:coauthVersionMax="47" xr10:uidLastSave="{00000000-0000-0000-0000-000000000000}"/>
  <bookViews>
    <workbookView xWindow="0" yWindow="500" windowWidth="28800" windowHeight="31900" activeTab="2" xr2:uid="{00000000-000D-0000-FFFF-FFFF00000000}"/>
  </bookViews>
  <sheets>
    <sheet name="Dashboard" sheetId="1" r:id="rId1"/>
    <sheet name="Customers Data" sheetId="2" r:id="rId2"/>
    <sheet name="Chart Data" sheetId="6" r:id="rId3"/>
    <sheet name="Sheet1" sheetId="5" r:id="rId4"/>
    <sheet name="Setup" sheetId="3" r:id="rId5"/>
    <sheet name="scratch" sheetId="7" r:id="rId6"/>
    <sheet name="!Helper" sheetId="4" state="hidden" r:id="rId7"/>
  </sheets>
  <externalReferences>
    <externalReference r:id="rId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6" l="1" a="1"/>
  <c r="O6" i="6" s="1"/>
  <c r="O7" i="6" a="1"/>
  <c r="O7" i="6" s="1"/>
  <c r="O8" i="6" a="1"/>
  <c r="O8" i="6" s="1"/>
  <c r="O9" i="6" a="1"/>
  <c r="O9" i="6" s="1"/>
  <c r="O10" i="6" a="1"/>
  <c r="O10" i="6" s="1"/>
  <c r="O5" i="6" a="1"/>
  <c r="O5" i="6" s="1"/>
  <c r="H15" i="6"/>
  <c r="H14" i="6"/>
  <c r="N6" i="6"/>
  <c r="N7" i="6"/>
  <c r="N8" i="6"/>
  <c r="N9" i="6"/>
  <c r="N10" i="6"/>
  <c r="N5" i="6"/>
  <c r="H1" i="6" a="1"/>
  <c r="H1" i="6" s="1"/>
  <c r="D21" i="1" a="1"/>
  <c r="D21" i="1" s="1"/>
  <c r="C21" i="1" a="1"/>
  <c r="C21" i="1" s="1"/>
  <c r="F7" i="4"/>
  <c r="F6" i="4"/>
  <c r="F5" i="4"/>
  <c r="C5" i="4"/>
  <c r="F4" i="4"/>
  <c r="C4" i="4"/>
  <c r="F3" i="4"/>
  <c r="C3" i="4"/>
  <c r="C21" i="4" l="1"/>
  <c r="C18" i="4"/>
  <c r="C19" i="4"/>
  <c r="C20" i="4"/>
  <c r="C1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<sst xmlns="http://schemas.openxmlformats.org/spreadsheetml/2006/main" count="2617" uniqueCount="1371">
  <si>
    <t>FEBRUARY</t>
  </si>
  <si>
    <t>Customer Name</t>
  </si>
  <si>
    <t>Overall Experience</t>
  </si>
  <si>
    <t>Customer Satisfaction</t>
  </si>
  <si>
    <t>Customer Comments:</t>
  </si>
  <si>
    <t>Date</t>
  </si>
  <si>
    <t>Email</t>
  </si>
  <si>
    <t>Purchase ID</t>
  </si>
  <si>
    <t>Product Satisfaction</t>
  </si>
  <si>
    <t>Delivery Satisfaction</t>
  </si>
  <si>
    <t>Avg Time to Solve An Issue</t>
  </si>
  <si>
    <t>John Smith</t>
  </si>
  <si>
    <t>john.smith@email.com</t>
  </si>
  <si>
    <t>WIAS123</t>
  </si>
  <si>
    <t>Less than 1 hour</t>
  </si>
  <si>
    <t>Neutral</t>
  </si>
  <si>
    <t>John Smith: "Great product quality! Fast delivery."</t>
  </si>
  <si>
    <t>Sarah Johnson</t>
  </si>
  <si>
    <t>sarah@email.com</t>
  </si>
  <si>
    <t>WIAS124</t>
  </si>
  <si>
    <t>1-2 hours</t>
  </si>
  <si>
    <t>Sarah Johnson: "Love the variety. Could improve delivery tracking."</t>
  </si>
  <si>
    <t>Michael Davis</t>
  </si>
  <si>
    <t>michael@email.com</t>
  </si>
  <si>
    <t>WIAS125</t>
  </si>
  <si>
    <t>More than 2 hours</t>
  </si>
  <si>
    <t>Very Unsatisfied</t>
  </si>
  <si>
    <t>Michael Davis: "Satisfied overall, but sizing was a bit off."</t>
  </si>
  <si>
    <t>Emily White</t>
  </si>
  <si>
    <t>emily@email.com</t>
  </si>
  <si>
    <t>WIAS126</t>
  </si>
  <si>
    <t>Unsatisfied</t>
  </si>
  <si>
    <t>Emily White: "Excellent service! Will shop again."</t>
  </si>
  <si>
    <t>Brian Thompson</t>
  </si>
  <si>
    <t>brian@email.com</t>
  </si>
  <si>
    <t>WIAS127</t>
  </si>
  <si>
    <t>Very Satisfied</t>
  </si>
  <si>
    <t>Brian Thompson: "Good prices, but product descriptions could be clearer."</t>
  </si>
  <si>
    <t>Jessica Turner</t>
  </si>
  <si>
    <t>jessica@email.com</t>
  </si>
  <si>
    <t>WIAS128</t>
  </si>
  <si>
    <t>Jessica Turner: "Comfortable clothing. Delivery was on time."</t>
  </si>
  <si>
    <t>Kevin Miller</t>
  </si>
  <si>
    <t>kevin@email.com</t>
  </si>
  <si>
    <t>WIAS129</t>
  </si>
  <si>
    <t>Kevin Miller: "Decent experience, but packaging could be more eco-friendly."</t>
  </si>
  <si>
    <t>Lauren Adams</t>
  </si>
  <si>
    <t>lauren@email.com</t>
  </si>
  <si>
    <t>WIAS130</t>
  </si>
  <si>
    <t>Satisfied</t>
  </si>
  <si>
    <t>Lauren Adams: "Highly satisfied. Good job on the new collection."</t>
  </si>
  <si>
    <t>Ryan Cooper</t>
  </si>
  <si>
    <t>ryan@email.com</t>
  </si>
  <si>
    <t>WIAS131</t>
  </si>
  <si>
    <t>Ryan Cooper: "Quality products, but website navigation needs improvement."</t>
  </si>
  <si>
    <t>Ashley Parker</t>
  </si>
  <si>
    <t>ashley@email.com</t>
  </si>
  <si>
    <t>WIAS132</t>
  </si>
  <si>
    <t>Ashley Parker: "Amazing experience. Will recommend to friends."</t>
  </si>
  <si>
    <t>SETUP</t>
  </si>
  <si>
    <t>MARCH</t>
  </si>
  <si>
    <t>APRIL</t>
  </si>
  <si>
    <t>MAY</t>
  </si>
  <si>
    <t>JUNE</t>
  </si>
  <si>
    <t>JULY</t>
  </si>
  <si>
    <t>AUGUST</t>
  </si>
  <si>
    <t>SEPTEMBER</t>
  </si>
  <si>
    <t>OCTOBER</t>
  </si>
  <si>
    <t>NOVEMBER</t>
  </si>
  <si>
    <t>DECEMBER</t>
  </si>
  <si>
    <t/>
  </si>
  <si>
    <t>REPORTING PERIOD</t>
  </si>
  <si>
    <t>sys_RespNum</t>
  </si>
  <si>
    <t>S1</t>
  </si>
  <si>
    <t>SR2</t>
  </si>
  <si>
    <t>SR3</t>
  </si>
  <si>
    <t>SC4</t>
  </si>
  <si>
    <t>S5</t>
  </si>
  <si>
    <t>Type</t>
  </si>
  <si>
    <t>Q1</t>
  </si>
  <si>
    <t>Q1_4_other</t>
  </si>
  <si>
    <t>Q2</t>
  </si>
  <si>
    <t>Q3</t>
  </si>
  <si>
    <t>Q3_12_other</t>
  </si>
  <si>
    <t>Q3_15_other</t>
  </si>
  <si>
    <t>Q3_24_other</t>
  </si>
  <si>
    <t>Q4</t>
  </si>
  <si>
    <t>Q4#_1</t>
  </si>
  <si>
    <t>Q4#_2</t>
  </si>
  <si>
    <t>Q4#_3</t>
  </si>
  <si>
    <t>Q5</t>
  </si>
  <si>
    <t>Q6_r1</t>
  </si>
  <si>
    <t>Q6_r2</t>
  </si>
  <si>
    <t>Q6_r3</t>
  </si>
  <si>
    <t>Q6_r4</t>
  </si>
  <si>
    <t>Q7Low_r1_c1</t>
  </si>
  <si>
    <t>Q7r1_Low#1</t>
  </si>
  <si>
    <t>Q7r1_Low#2</t>
  </si>
  <si>
    <t>Q7r1_Low#3</t>
  </si>
  <si>
    <t>Q7r1_Low#4</t>
  </si>
  <si>
    <t>Q7High_r1_c1</t>
  </si>
  <si>
    <t>Q7r1_High#1</t>
  </si>
  <si>
    <t>Q7r1_High#2</t>
  </si>
  <si>
    <t>Q7r1_High#3</t>
  </si>
  <si>
    <t>Q7r1_High#4</t>
  </si>
  <si>
    <t>Q7Low_r2_c1</t>
  </si>
  <si>
    <t>Q7r2_Low#1</t>
  </si>
  <si>
    <t>Q7r2_Low#2</t>
  </si>
  <si>
    <t>Q7r2_Low#3</t>
  </si>
  <si>
    <t>Q7r2_Low#4</t>
  </si>
  <si>
    <t>Q7High_r2_c1</t>
  </si>
  <si>
    <t>Q7r2_High#1</t>
  </si>
  <si>
    <t>Q7r2_High#2</t>
  </si>
  <si>
    <t>Q7r2_High#3</t>
  </si>
  <si>
    <t>Q7r2_High#4</t>
  </si>
  <si>
    <t>Q7Low_r3_c1</t>
  </si>
  <si>
    <t>Q7r3_Low#1</t>
  </si>
  <si>
    <t>Q7r3_Low#2</t>
  </si>
  <si>
    <t>Q7r3_Low#3</t>
  </si>
  <si>
    <t>Q7r3_Low#4</t>
  </si>
  <si>
    <t>Q7High_r3_c1</t>
  </si>
  <si>
    <t>Q7r3_High#1</t>
  </si>
  <si>
    <t>Q7r3_High#2</t>
  </si>
  <si>
    <t>Q7r3_High#3</t>
  </si>
  <si>
    <t>Q7r3_High#4</t>
  </si>
  <si>
    <t>Q7Low_r4_c1</t>
  </si>
  <si>
    <t>Q7r4_Low#1</t>
  </si>
  <si>
    <t>Q7r4_Low#2</t>
  </si>
  <si>
    <t>Q7r4_Low#3</t>
  </si>
  <si>
    <t>Q7r4_Low#4</t>
  </si>
  <si>
    <t>Q7High_r4_c1</t>
  </si>
  <si>
    <t>Q7r4_High#1</t>
  </si>
  <si>
    <t>Q7r4_High#2</t>
  </si>
  <si>
    <t>Q7r4_High#3</t>
  </si>
  <si>
    <t>Q7r4_High#4</t>
  </si>
  <si>
    <t>Q8</t>
  </si>
  <si>
    <t>Q9</t>
  </si>
  <si>
    <t>Q10</t>
  </si>
  <si>
    <t>Q10_1</t>
  </si>
  <si>
    <t>Q10_2</t>
  </si>
  <si>
    <t>Q10_3</t>
  </si>
  <si>
    <t>Q10_4</t>
  </si>
  <si>
    <t>Q11</t>
  </si>
  <si>
    <t>Q12</t>
  </si>
  <si>
    <t>Q12_1</t>
  </si>
  <si>
    <t>Q12_2</t>
  </si>
  <si>
    <t>Q12_3</t>
  </si>
  <si>
    <t>Q12A</t>
  </si>
  <si>
    <t>Q12B</t>
  </si>
  <si>
    <t>Q12B_1</t>
  </si>
  <si>
    <t>Q12B_2</t>
  </si>
  <si>
    <t>Q12B_3</t>
  </si>
  <si>
    <t>Q13</t>
  </si>
  <si>
    <t>Q14</t>
  </si>
  <si>
    <t>Q15</t>
  </si>
  <si>
    <t>Q16</t>
  </si>
  <si>
    <t>Q17</t>
  </si>
  <si>
    <t>Q18</t>
  </si>
  <si>
    <t>Q18_1</t>
  </si>
  <si>
    <t>Q18_2</t>
  </si>
  <si>
    <t>Q18_3</t>
  </si>
  <si>
    <t>Q19</t>
  </si>
  <si>
    <t>Q20</t>
  </si>
  <si>
    <t>Q20_1</t>
  </si>
  <si>
    <t>Q20_2</t>
  </si>
  <si>
    <t>Q20_3</t>
  </si>
  <si>
    <t>Q21</t>
  </si>
  <si>
    <t>Q22</t>
  </si>
  <si>
    <t>Q23_r1</t>
  </si>
  <si>
    <t>Q23_r2</t>
  </si>
  <si>
    <t>Q23_r3</t>
  </si>
  <si>
    <t>Q23_r4</t>
  </si>
  <si>
    <t>Q23_r5</t>
  </si>
  <si>
    <t>Q23_r6</t>
  </si>
  <si>
    <t>Q23_r7</t>
  </si>
  <si>
    <t>Q24</t>
  </si>
  <si>
    <t>Q24_1</t>
  </si>
  <si>
    <t>Q24_2</t>
  </si>
  <si>
    <t>Q25</t>
  </si>
  <si>
    <t>Q26_1</t>
  </si>
  <si>
    <t>Q26_2</t>
  </si>
  <si>
    <t>Q26_3</t>
  </si>
  <si>
    <t>Q26_4</t>
  </si>
  <si>
    <t>Q26_5</t>
  </si>
  <si>
    <t>Q26_6</t>
  </si>
  <si>
    <t>Q26_7</t>
  </si>
  <si>
    <t>Q26_8</t>
  </si>
  <si>
    <t>Q26_9</t>
  </si>
  <si>
    <t>Q26_9_other</t>
  </si>
  <si>
    <t>Q27</t>
  </si>
  <si>
    <t>Q28</t>
  </si>
  <si>
    <t>Q28_1</t>
  </si>
  <si>
    <t>Q28_2</t>
  </si>
  <si>
    <t>Q29</t>
  </si>
  <si>
    <t>Q30</t>
  </si>
  <si>
    <t>Q30_1</t>
  </si>
  <si>
    <t>Q30_2</t>
  </si>
  <si>
    <t>Q30_3</t>
  </si>
  <si>
    <t>Q31</t>
  </si>
  <si>
    <t>Q32</t>
  </si>
  <si>
    <t>Q33</t>
  </si>
  <si>
    <t>Q33_1</t>
  </si>
  <si>
    <t>DC1</t>
  </si>
  <si>
    <t>DC1_3_other</t>
  </si>
  <si>
    <t>DC1_5_other</t>
  </si>
  <si>
    <t>DC1_9_other</t>
  </si>
  <si>
    <t>DC1_19_other</t>
  </si>
  <si>
    <t>DC1_20_other</t>
  </si>
  <si>
    <t>DC1_21_other</t>
  </si>
  <si>
    <t>DC1_22_other</t>
  </si>
  <si>
    <t>DC2</t>
  </si>
  <si>
    <t>DC3</t>
  </si>
  <si>
    <t>DC4</t>
  </si>
  <si>
    <t>DC5</t>
  </si>
  <si>
    <t>DR1</t>
  </si>
  <si>
    <t>DR2</t>
  </si>
  <si>
    <t>DR2_6_other</t>
  </si>
  <si>
    <t>DR3</t>
  </si>
  <si>
    <t>DR4</t>
  </si>
  <si>
    <t>DR5</t>
  </si>
  <si>
    <t>DR6</t>
  </si>
  <si>
    <t>DR7</t>
  </si>
  <si>
    <t>DR8</t>
  </si>
  <si>
    <t>DR9</t>
  </si>
  <si>
    <t>DR10</t>
  </si>
  <si>
    <t>DR11</t>
  </si>
  <si>
    <t>ContactInfo_first</t>
  </si>
  <si>
    <t>ContactInfo_last</t>
  </si>
  <si>
    <t>ContactInfo_Company</t>
  </si>
  <si>
    <t>ContactInfo_email</t>
  </si>
  <si>
    <t>ContactInfo_Phone</t>
  </si>
  <si>
    <t>InterID</t>
  </si>
  <si>
    <t>Month</t>
  </si>
  <si>
    <t>QtaMonth</t>
  </si>
  <si>
    <t>sys_EndTime</t>
  </si>
  <si>
    <t>ID</t>
  </si>
  <si>
    <t>Payment</t>
  </si>
  <si>
    <t>It was short enough</t>
  </si>
  <si>
    <t>I don't remember. Probably something about being able to do the things I wanted to do online; which I couldn't, because I would have been doing them online if I could.</t>
  </si>
  <si>
    <t>Letting people who have trouble paying know that there are options and that they should ask about those options.</t>
  </si>
  <si>
    <t>Different section of the center.</t>
  </si>
  <si>
    <t>Mutt</t>
  </si>
  <si>
    <t>RAnthony</t>
  </si>
  <si>
    <t>Steele</t>
  </si>
  <si>
    <t>ranthonysteele@gmail.com</t>
  </si>
  <si>
    <t>5129260317</t>
  </si>
  <si>
    <t>22 Jul 2025 - 14:42:03 CDT</t>
  </si>
  <si>
    <t>1109</t>
  </si>
  <si>
    <t>10</t>
  </si>
  <si>
    <t>No remember</t>
  </si>
  <si>
    <t>Service was great he helps me 100%</t>
  </si>
  <si>
    <t>Puertorican</t>
  </si>
  <si>
    <t>Vivian</t>
  </si>
  <si>
    <t>Hernandez</t>
  </si>
  <si>
    <t>Hvivian88@gmail.com</t>
  </si>
  <si>
    <t>5126196064</t>
  </si>
  <si>
    <t>22 Jul 2025 - 14:50:06 CDT</t>
  </si>
  <si>
    <t>860</t>
  </si>
  <si>
    <t>N/a</t>
  </si>
  <si>
    <t>Blind, use phone</t>
  </si>
  <si>
    <t>???????????</t>
  </si>
  <si>
    <t>Time to reach rep</t>
  </si>
  <si>
    <t>Have a modest in ground pool for medical/ physical therapy.  During the wastewater measuring period, the pool water used for each filling is about 600 gallons/ it needs filling about every 6 weeks this water use adds to my monthly water bill for the year.  A small amount of water is used every other month to backwash the filter. It is drained for repairs every 1o years. It is not fair</t>
  </si>
  <si>
    <t>Do not include pool filling in my annual/monthly water bill.</t>
  </si>
  <si>
    <t>Help instead of just saying no</t>
  </si>
  <si>
    <t>?????</t>
  </si>
  <si>
    <t>GERALD</t>
  </si>
  <si>
    <t>OROURKE</t>
  </si>
  <si>
    <t>GOROURKE@AUSTIN.RR.COM</t>
  </si>
  <si>
    <t>5129920125</t>
  </si>
  <si>
    <t>29 Jul 2025 - 11:06:51 CDT</t>
  </si>
  <si>
    <t>836</t>
  </si>
  <si>
    <t>8</t>
  </si>
  <si>
    <t>Ron</t>
  </si>
  <si>
    <t>Pauley</t>
  </si>
  <si>
    <t>Rapauley47@austin.rr.com</t>
  </si>
  <si>
    <t>513-423-6030</t>
  </si>
  <si>
    <t>11 Aug 2025 - 15:38:32 CDT</t>
  </si>
  <si>
    <t>12536</t>
  </si>
  <si>
    <t>Balance</t>
  </si>
  <si>
    <t>Weatherzarion</t>
  </si>
  <si>
    <t>White</t>
  </si>
  <si>
    <t>Allan</t>
  </si>
  <si>
    <t>Mexas</t>
  </si>
  <si>
    <t>Ahmexas@gmail.coñm</t>
  </si>
  <si>
    <t>5134175794</t>
  </si>
  <si>
    <t>11 Aug 2025 - 16:03:53 CDT</t>
  </si>
  <si>
    <t>3122</t>
  </si>
  <si>
    <t>9</t>
  </si>
  <si>
    <t>Don’t recall something about I don’t remember</t>
  </si>
  <si>
    <t>Nice music no message</t>
  </si>
  <si>
    <t>I need to pay both bills, the light and water and waste water. I had been unable to log into my online account. Car said I don’t remember her name. She was patient and she walked me through what the issue was and was able to fix it. I was a very satisfied.</t>
  </si>
  <si>
    <t>Yolanda</t>
  </si>
  <si>
    <t>Arriaga</t>
  </si>
  <si>
    <t>yoarriaga07@Yahoo.com</t>
  </si>
  <si>
    <t>5124131966</t>
  </si>
  <si>
    <t>12 Aug 2025 - 12:05:53 CDT</t>
  </si>
  <si>
    <t>12573</t>
  </si>
  <si>
    <t>Nest thermostat program</t>
  </si>
  <si>
    <t>Clear instructions</t>
  </si>
  <si>
    <t>Got me to appropriate person</t>
  </si>
  <si>
    <t>Easy to use</t>
  </si>
  <si>
    <t>Did not take long</t>
  </si>
  <si>
    <t>Don’t remember</t>
  </si>
  <si>
    <t>No other messages</t>
  </si>
  <si>
    <t>They had someone call me back</t>
  </si>
  <si>
    <t>Gary</t>
  </si>
  <si>
    <t>Watkins</t>
  </si>
  <si>
    <t>garywatkins@protonmail.com</t>
  </si>
  <si>
    <t>5126729678</t>
  </si>
  <si>
    <t>17 Aug 2025 - 16:43:05 CDT</t>
  </si>
  <si>
    <t>12617</t>
  </si>
  <si>
    <t>Our trash can has been missed on numerous occasions. I’ve had to call for a pick up about 4-5 times in this year alone. I requested some sort of credit for our inconvenience but never received a response to that. They did send someone to clear out our trash with the next day though.</t>
  </si>
  <si>
    <t>A constant loop asking if I or someone in my household was on life support.</t>
  </si>
  <si>
    <t>Rates are stable for the next quarter or on the opposite side, rates are expected to increase in the next quarter due to xyzzy…</t>
  </si>
  <si>
    <t>Amelia</t>
  </si>
  <si>
    <t>De La Rosa-Rodriguez</t>
  </si>
  <si>
    <t>arodriguez2052@yahoo.com</t>
  </si>
  <si>
    <t>5129252012</t>
  </si>
  <si>
    <t>08 Sep 2025 - 15:13:44 CDT</t>
  </si>
  <si>
    <t>10637</t>
  </si>
  <si>
    <t>Moving questions</t>
  </si>
  <si>
    <t>Just get notice though email of saving energy</t>
  </si>
  <si>
    <t>Areli</t>
  </si>
  <si>
    <t>Dauphin</t>
  </si>
  <si>
    <t>Arelimguerrero@gmail.com</t>
  </si>
  <si>
    <t>5125847314</t>
  </si>
  <si>
    <t>08 Sep 2025 - 15:13:34 CDT</t>
  </si>
  <si>
    <t>1286</t>
  </si>
  <si>
    <t>Meter on my house seems way out of line with actual electricity used.</t>
  </si>
  <si>
    <t>Not helpful</t>
  </si>
  <si>
    <t>Long wait time</t>
  </si>
  <si>
    <t>No idea</t>
  </si>
  <si>
    <t>That would be it</t>
  </si>
  <si>
    <t>Meter reading seems crazy off, but never got any help</t>
  </si>
  <si>
    <t>Find someone who understands my kind of meter and why it is showing such high usage</t>
  </si>
  <si>
    <t>Fix the meter issue</t>
  </si>
  <si>
    <t>Someone with knowledge of the meter and why readings are so high</t>
  </si>
  <si>
    <t>Brian</t>
  </si>
  <si>
    <t>Cobb</t>
  </si>
  <si>
    <t>brian@cobbmechanical.com</t>
  </si>
  <si>
    <t>5129172998</t>
  </si>
  <si>
    <t>08 Sep 2025 - 15:35:26 CDT</t>
  </si>
  <si>
    <t>3192</t>
  </si>
  <si>
    <t>Water leak caused by work on main line that blew my meter to house line</t>
  </si>
  <si>
    <t>Although it took several hours, we were able to determine how I could receive a partial credit</t>
  </si>
  <si>
    <t>I was served and supported by a great customer service team, as I spoke to more than one person</t>
  </si>
  <si>
    <t>I cannot remember the specific reason</t>
  </si>
  <si>
    <t>Christian</t>
  </si>
  <si>
    <t>Patrik</t>
  </si>
  <si>
    <t>Christianjpatrik@gmail.com</t>
  </si>
  <si>
    <t>512-560-1894</t>
  </si>
  <si>
    <t>08 Sep 2025 - 16:39:12 CDT</t>
  </si>
  <si>
    <t>8864</t>
  </si>
  <si>
    <t>Auto payment options on bill</t>
  </si>
  <si>
    <t>Seamless</t>
  </si>
  <si>
    <t>Agent knew exactly what was required to solve my issue</t>
  </si>
  <si>
    <t>She was excellent</t>
  </si>
  <si>
    <t>Don’t</t>
  </si>
  <si>
    <t>None</t>
  </si>
  <si>
    <t>Andrew</t>
  </si>
  <si>
    <t>Rhodes</t>
  </si>
  <si>
    <t>arhodes0@gmail.com</t>
  </si>
  <si>
    <t>6504419499</t>
  </si>
  <si>
    <t>08 Sep 2025 - 16:46:40 CDT</t>
  </si>
  <si>
    <t>4384</t>
  </si>
  <si>
    <t>Recycling</t>
  </si>
  <si>
    <t>Audrey</t>
  </si>
  <si>
    <t>Johnson</t>
  </si>
  <si>
    <t>audrey.johson71@gmail.com</t>
  </si>
  <si>
    <t>512-810-8065</t>
  </si>
  <si>
    <t>08 Sep 2025 - 16:52:33 CDT</t>
  </si>
  <si>
    <t>2547</t>
  </si>
  <si>
    <t>Clean community fee and what city services it applies to, maintenance on street lighting</t>
  </si>
  <si>
    <t>This is more an issue with Austin 311. Austin energy was able to look up the info for the clean community fee and clarify that it does cover bulk pickup and dead animal removal for condominiums, but city employees did not believe me until I got a 3-way call with Austin energy and a 311 representative on the line at the same time.</t>
  </si>
  <si>
    <t>Austin energy employees were able to locate the correct information for my inquiry. I consider this a high level of service as other companies often have representatives not empowered to make changes to accounts or gather necessary information.</t>
  </si>
  <si>
    <t>Austin energy was able to answer my call and respond in a reasonable amount of time on the phone. I consider this a very good level of service, especially as other companies or services become difficult to reach</t>
  </si>
  <si>
    <t>I’m sorry, I don’t remember the exact path through the phone tree. This was a complex call to multiple city agencies including call forwarding and a 3-way conversation and was resolved in about 30 minutes total. Difficult but achievable for the average customer.</t>
  </si>
  <si>
    <t>A phone tree option to leave a brief message with description of the issue and receive a callback if hold time were to exceed a few minutes.</t>
  </si>
  <si>
    <t>Yes. The representative need to look up information and contact another agency to inform them of their findings.</t>
  </si>
  <si>
    <t>I receive paper bills from Austin energy. The included information advised me of billing changes. These were used to update the budget for a condo association to good effect.</t>
  </si>
  <si>
    <t>David</t>
  </si>
  <si>
    <t>Craven</t>
  </si>
  <si>
    <t>cascraven@gmail.com</t>
  </si>
  <si>
    <t>5408186726</t>
  </si>
  <si>
    <t>08 Sep 2025 - 17:41:00 CDT</t>
  </si>
  <si>
    <t>3209</t>
  </si>
  <si>
    <t>Joe</t>
  </si>
  <si>
    <t>Altamirano Jr</t>
  </si>
  <si>
    <t>cjimtheboss@gmail.com</t>
  </si>
  <si>
    <t>737-888-4223</t>
  </si>
  <si>
    <t>08 Sep 2025 - 18:49:22 CDT</t>
  </si>
  <si>
    <t>8868</t>
  </si>
  <si>
    <t>Easy to follow</t>
  </si>
  <si>
    <t>Can’t remember</t>
  </si>
  <si>
    <t>How can save more energy tips</t>
  </si>
  <si>
    <t>Google to where I may get the answer</t>
  </si>
  <si>
    <t>Vonnie</t>
  </si>
  <si>
    <t>Basham</t>
  </si>
  <si>
    <t>Bashamvonnie@gmail.com</t>
  </si>
  <si>
    <t>5128612079</t>
  </si>
  <si>
    <t>08 Sep 2025 - 21:13:21 CDT</t>
  </si>
  <si>
    <t>3169</t>
  </si>
  <si>
    <t>Not sure</t>
  </si>
  <si>
    <t>Salman</t>
  </si>
  <si>
    <t>Khan</t>
  </si>
  <si>
    <t>denpesar@me.com</t>
  </si>
  <si>
    <t>6462635204</t>
  </si>
  <si>
    <t>09 Sep 2025 - 07:27:52 CDT</t>
  </si>
  <si>
    <t>10156</t>
  </si>
  <si>
    <t>Please wait for the next representative. I honestly don’t remember.</t>
  </si>
  <si>
    <t>Options to pay bill electronically</t>
  </si>
  <si>
    <t>I think ways to pay bill electronically</t>
  </si>
  <si>
    <t>David Augustine</t>
  </si>
  <si>
    <t>Ysla</t>
  </si>
  <si>
    <t>daysla@icloud.com</t>
  </si>
  <si>
    <t>5129389484</t>
  </si>
  <si>
    <t>09 Sep 2025 - 07:44:49 CDT</t>
  </si>
  <si>
    <t>3885</t>
  </si>
  <si>
    <t>Sometime the option to get a live agent is hard</t>
  </si>
  <si>
    <t>They explain it to me very well</t>
  </si>
  <si>
    <t>They are so nice</t>
  </si>
  <si>
    <t>Perfect</t>
  </si>
  <si>
    <t>I don't remember</t>
  </si>
  <si>
    <t>Betty</t>
  </si>
  <si>
    <t>Escalona</t>
  </si>
  <si>
    <t>Elizabeth.escalona.26@gmail.com</t>
  </si>
  <si>
    <t>5125219258</t>
  </si>
  <si>
    <t>09 Sep 2025 - 08:55:00 CDT</t>
  </si>
  <si>
    <t>10771</t>
  </si>
  <si>
    <t>That's how I feel call went</t>
  </si>
  <si>
    <t>Different pay stations</t>
  </si>
  <si>
    <t>Ways to help pay bills</t>
  </si>
  <si>
    <t>Not seem like you're rushed off the phone</t>
  </si>
  <si>
    <t>Rosie</t>
  </si>
  <si>
    <t>Taylor</t>
  </si>
  <si>
    <t>essietaylor2505@gmail.com</t>
  </si>
  <si>
    <t>5129457080</t>
  </si>
  <si>
    <t>09 Sep 2025 - 08:57:03 CDT</t>
  </si>
  <si>
    <t>9517</t>
  </si>
  <si>
    <t>Prompt efficient service</t>
  </si>
  <si>
    <t>Rep was helpful and knowledgeable about putting the account back into the property owner’s name</t>
  </si>
  <si>
    <t>Easy</t>
  </si>
  <si>
    <t>Stated time was more than actual. Very quick</t>
  </si>
  <si>
    <t>Don't recall</t>
  </si>
  <si>
    <t>Hours of service, required materials so callers are prepared, interesting facts/upcoming activities for Austin energy, things you can accomplish online</t>
  </si>
  <si>
    <t>Evelyn</t>
  </si>
  <si>
    <t>Brandley</t>
  </si>
  <si>
    <t>Evelyncamille@yahoo.com</t>
  </si>
  <si>
    <t>5123507281</t>
  </si>
  <si>
    <t>09 Sep 2025 - 10:14:54 CDT</t>
  </si>
  <si>
    <t>4558</t>
  </si>
  <si>
    <t>I got information that was necessary to apply for adjustment to my wastewater billing.</t>
  </si>
  <si>
    <t>Same as above</t>
  </si>
  <si>
    <t>I like speaking with a person.</t>
  </si>
  <si>
    <t>Holly</t>
  </si>
  <si>
    <t>Hargis</t>
  </si>
  <si>
    <t>hollyhargis2@gmail.com</t>
  </si>
  <si>
    <t>7132482819</t>
  </si>
  <si>
    <t>09 Sep 2025 - 10:59:02 CDT</t>
  </si>
  <si>
    <t>4604</t>
  </si>
  <si>
    <t>My trashcan wasn't completely emptied.</t>
  </si>
  <si>
    <t>There was a trash bag left at the bottom of my trash bin after trash pickup. They only emptied half of the bin.</t>
  </si>
  <si>
    <t>It takes too long to speak to someone.</t>
  </si>
  <si>
    <t>What I speak, it never understands me correctly, no matter how slow and clear I speak.</t>
  </si>
  <si>
    <t>I would much rather speak to a human being.</t>
  </si>
  <si>
    <t>I rarely ever have to wait very long.</t>
  </si>
  <si>
    <t>I don't know</t>
  </si>
  <si>
    <t>It would be nice to know what benefits the city offers for free and what rebates are available.</t>
  </si>
  <si>
    <t>Angelina</t>
  </si>
  <si>
    <t>Gonzalez</t>
  </si>
  <si>
    <t>Gonzalezangela31@gmail.com</t>
  </si>
  <si>
    <t>5128675309</t>
  </si>
  <si>
    <t>09 Sep 2025 - 11:08:18 CDT</t>
  </si>
  <si>
    <t>2087</t>
  </si>
  <si>
    <t>Short waiting time</t>
  </si>
  <si>
    <t>All necessary info provided</t>
  </si>
  <si>
    <t>Excellent</t>
  </si>
  <si>
    <t>Recording about how long for wait time.  What department to call for making payments?</t>
  </si>
  <si>
    <t>Darleen</t>
  </si>
  <si>
    <t>Gilmore</t>
  </si>
  <si>
    <t>darleen1947@gmail.com</t>
  </si>
  <si>
    <t>5129255896</t>
  </si>
  <si>
    <t>09 Sep 2025 - 11:56:29 CDT</t>
  </si>
  <si>
    <t>3261</t>
  </si>
  <si>
    <t>Inquiry about bill assistance program</t>
  </si>
  <si>
    <t>I got all the information I needed in a timely fashion.</t>
  </si>
  <si>
    <t>I got all the information I needed in a timely fashion from a polite associate.</t>
  </si>
  <si>
    <t>I don't remember the info I heard while on hold.</t>
  </si>
  <si>
    <t>Douglas</t>
  </si>
  <si>
    <t>Bass</t>
  </si>
  <si>
    <t>Dj_182@YAHOO.COM</t>
  </si>
  <si>
    <t>9094479283</t>
  </si>
  <si>
    <t>09 Sep 2025 - 12:05:13 CDT</t>
  </si>
  <si>
    <t>6372</t>
  </si>
  <si>
    <t>Sometimes we have to repeat the request. It is causing delays.</t>
  </si>
  <si>
    <t>It is what it is expected from an automatized service.</t>
  </si>
  <si>
    <t>I was waiting to speak with an agent, I heard noise, a woman voice and them silence. I waited around 2 minutes while the person at the other side of the line was silenced or muted. It was discouraged to call to get an answer to be disconnected. Poor customer service and wasted time.</t>
  </si>
  <si>
    <t>None at this call and time.</t>
  </si>
  <si>
    <t>The call was unsuccessful. The agent disconnected the call.</t>
  </si>
  <si>
    <t>the agent disconnected the call.</t>
  </si>
  <si>
    <t>Answering calls and resolve issues.</t>
  </si>
  <si>
    <t>A</t>
  </si>
  <si>
    <t>Duenas</t>
  </si>
  <si>
    <t>gabycamps@hotmail.com</t>
  </si>
  <si>
    <t>5127971216</t>
  </si>
  <si>
    <t>09 Sep 2025 - 12:24:35 CDT</t>
  </si>
  <si>
    <t>5809</t>
  </si>
  <si>
    <t>Easy to use is correct</t>
  </si>
  <si>
    <t>They do the job right</t>
  </si>
  <si>
    <t>Great way to communicate</t>
  </si>
  <si>
    <t>No wait time</t>
  </si>
  <si>
    <t>DAYTA</t>
  </si>
  <si>
    <t>JONES</t>
  </si>
  <si>
    <t>daytajackson28@gmail.com</t>
  </si>
  <si>
    <t>5127482550</t>
  </si>
  <si>
    <t>09 Sep 2025 - 14:09:15 CDT</t>
  </si>
  <si>
    <t>5748</t>
  </si>
  <si>
    <t>The fee for moving could have been dropped to help make my bill more affordable, so I wouldn’t be drowning in it and facing disconnection as a single mother on one income.</t>
  </si>
  <si>
    <t>Kathryn</t>
  </si>
  <si>
    <t>Wickham</t>
  </si>
  <si>
    <t>Katewickham89@gmail.com</t>
  </si>
  <si>
    <t>(512)671-0851</t>
  </si>
  <si>
    <t>09 Sep 2025 - 16:20:11 CDT</t>
  </si>
  <si>
    <t>4043</t>
  </si>
  <si>
    <t>I pay a majority of bill for “service center” - awful service.</t>
  </si>
  <si>
    <t>Excuses</t>
  </si>
  <si>
    <t>Just get me a live ‘helpful’ person</t>
  </si>
  <si>
    <t>Talk to someone else</t>
  </si>
  <si>
    <t>I pay a majority of bill for “service center” - aweful service.</t>
  </si>
  <si>
    <t>j</t>
  </si>
  <si>
    <t>f</t>
  </si>
  <si>
    <t>jfelger@hotmail.com</t>
  </si>
  <si>
    <t>5125551212</t>
  </si>
  <si>
    <t>09 Sep 2025 - 16:27:52 CDT</t>
  </si>
  <si>
    <t>7737</t>
  </si>
  <si>
    <t>I prefer to communicate with another human</t>
  </si>
  <si>
    <t>Because the wait time was not long</t>
  </si>
  <si>
    <t>I don’t remember honestly, I think it was an automated message with a reminder that I could visit the website as well or I can choose to be called back if I wanted</t>
  </si>
  <si>
    <t>No elevator or opera music is all I ask</t>
  </si>
  <si>
    <t>Jessica</t>
  </si>
  <si>
    <t>Castillo</t>
  </si>
  <si>
    <t>Jessdontfwu45@gmail.com</t>
  </si>
  <si>
    <t>7372680575</t>
  </si>
  <si>
    <t>09 Sep 2025 - 18:05:12 CDT</t>
  </si>
  <si>
    <t>8368</t>
  </si>
  <si>
    <t>I discontinued service and I am still being charged for electricity</t>
  </si>
  <si>
    <t>My request to discontinue service has resulted in my still being charged</t>
  </si>
  <si>
    <t>No response about why I am still being charged for service</t>
  </si>
  <si>
    <t>Bad</t>
  </si>
  <si>
    <t>Irrelevant</t>
  </si>
  <si>
    <t>That's is a stupid question</t>
  </si>
  <si>
    <t>This is wasting my time. Stop charging me for service when I requested disconnection for august 19</t>
  </si>
  <si>
    <t>Stop my service per my request!!!!</t>
  </si>
  <si>
    <t>Stop charging me for my service</t>
  </si>
  <si>
    <t>Kestutis</t>
  </si>
  <si>
    <t>Stanciauskas</t>
  </si>
  <si>
    <t>kstanciauskas@gmail.com</t>
  </si>
  <si>
    <t>7373410064</t>
  </si>
  <si>
    <t>10 Sep 2025 - 07:26:46 CDT</t>
  </si>
  <si>
    <t>10950</t>
  </si>
  <si>
    <t>Quick responses to get you to the right agent. They answer really quick</t>
  </si>
  <si>
    <t>Very knowledgeable and if not will get you to the right department</t>
  </si>
  <si>
    <t>Very easy service to use</t>
  </si>
  <si>
    <t>Very short</t>
  </si>
  <si>
    <t>I heard piano music</t>
  </si>
  <si>
    <t>Someone will be with you shortly</t>
  </si>
  <si>
    <t>Different department needed for my situation</t>
  </si>
  <si>
    <t>Kimbelry</t>
  </si>
  <si>
    <t>Richardson-Diji</t>
  </si>
  <si>
    <t>kimberlysrichardson@gmail.com</t>
  </si>
  <si>
    <t>7779311</t>
  </si>
  <si>
    <t>10 Sep 2025 - 08:37:26 CDT</t>
  </si>
  <si>
    <t>333</t>
  </si>
  <si>
    <t>They were helpful</t>
  </si>
  <si>
    <t>Helpful</t>
  </si>
  <si>
    <t>They were very kind</t>
  </si>
  <si>
    <t>Music</t>
  </si>
  <si>
    <t>Nothing</t>
  </si>
  <si>
    <t>Online and texted</t>
  </si>
  <si>
    <t>Laura</t>
  </si>
  <si>
    <t>Cox</t>
  </si>
  <si>
    <t>lauraycox@gmail.com</t>
  </si>
  <si>
    <t>512-587-8046</t>
  </si>
  <si>
    <t>10 Sep 2025 - 10:26:05 CDT</t>
  </si>
  <si>
    <t>12220</t>
  </si>
  <si>
    <t>A live person would be best</t>
  </si>
  <si>
    <t>No wait time is preferable</t>
  </si>
  <si>
    <t>Do not recall</t>
  </si>
  <si>
    <t>Wait time, option to leave message with return call, phone number of representatives to call back later if have to hang up</t>
  </si>
  <si>
    <t>Wrong person with wrong answer on the reply - I was told.</t>
  </si>
  <si>
    <t>I was never given a response on how my waste water was measured. We had a high no period (5200 gallons) so wanted to confirm the start date of no 16.</t>
  </si>
  <si>
    <t>Answer my question - on was the start date for the 3 months averaging of waste water no 16.</t>
  </si>
  <si>
    <t>Louri</t>
  </si>
  <si>
    <t>OLeary</t>
  </si>
  <si>
    <t>loleary2@gmail.com</t>
  </si>
  <si>
    <t>5124771615</t>
  </si>
  <si>
    <t>10 Sep 2025 - 14:36:14 CDT</t>
  </si>
  <si>
    <t>10981</t>
  </si>
  <si>
    <t>Something like" your message is important to us. Please wait for a customer service representative".  I initially called Austin 311 to report a power outage but was told to call Austin energy directly.</t>
  </si>
  <si>
    <t>What information they will be asking from me.  How long will wait be.  Another number to call if the response time is delayed.</t>
  </si>
  <si>
    <t>Marcia</t>
  </si>
  <si>
    <t>Desy</t>
  </si>
  <si>
    <t>marciadesy@sbcglobal.net</t>
  </si>
  <si>
    <t>5126193537</t>
  </si>
  <si>
    <t>10 Sep 2025 - 14:37:23 CDT</t>
  </si>
  <si>
    <t>1624</t>
  </si>
  <si>
    <t>All</t>
  </si>
  <si>
    <t>Requesting help in paying my bill.</t>
  </si>
  <si>
    <t>The car gave me incorrect information. She stated clearly that my electric service needed to be disconnected before they could offer assistance in paying my bill.</t>
  </si>
  <si>
    <t>Provide correct information.</t>
  </si>
  <si>
    <t>Michael</t>
  </si>
  <si>
    <t>Roach</t>
  </si>
  <si>
    <t>mgroach2@gmail.com</t>
  </si>
  <si>
    <t>5127053125</t>
  </si>
  <si>
    <t>10 Sep 2025 - 15:05:58 CDT</t>
  </si>
  <si>
    <t>3539</t>
  </si>
  <si>
    <t>I've been with COA for many years. Never had any problem with y'all</t>
  </si>
  <si>
    <t>Ditto</t>
  </si>
  <si>
    <t>Irish, Cherokee</t>
  </si>
  <si>
    <t>Brenda</t>
  </si>
  <si>
    <t>Miller</t>
  </si>
  <si>
    <t>Brendatubbs2002@yahoo.com</t>
  </si>
  <si>
    <t>512-497-2289</t>
  </si>
  <si>
    <t>10 Sep 2025 - 15:41:20 CDT</t>
  </si>
  <si>
    <t>27559</t>
  </si>
  <si>
    <t>For over 6 months, I’ve been trying to resolve overbilling on my account. Lately, my point of contact is supervisor joseph Hernandez. His favorite line is "I’ve resolved the issue and everything has been straightened out and you should see the corrected results on next month's bill. But next month’s bill is the same or worse.</t>
  </si>
  <si>
    <t>1</t>
  </si>
  <si>
    <t>Mr. Joseph Hernandez has not returned the last 3 phone calls; I left for him.</t>
  </si>
  <si>
    <t>After 6 months, I would have thought Mr. Joseph Hernandez could resolve the problem but in fact the problem just gets delayed another month.</t>
  </si>
  <si>
    <t>Resolve the billing issues, working from your own billing. Learn how to use a calculator??? Who knows-this is totally unbelievable!!!</t>
  </si>
  <si>
    <t>EDWARD</t>
  </si>
  <si>
    <t>GRUENDLER</t>
  </si>
  <si>
    <t>ed_gruendler@yahoo.com</t>
  </si>
  <si>
    <t>5127928618</t>
  </si>
  <si>
    <t>10 Sep 2025 - 15:53:11 CDT</t>
  </si>
  <si>
    <t>4534</t>
  </si>
  <si>
    <t>Tree branches interfering with power lines</t>
  </si>
  <si>
    <t>My call was handled quickly and efficiently.</t>
  </si>
  <si>
    <t>I don’t remember.</t>
  </si>
  <si>
    <t>Perhaps a message about little-known city services, such as the Austin recycling center, would be helpful.</t>
  </si>
  <si>
    <t>The call was a success, but the city is not going to take care of the tree branch issue I called about because the lines are not their lines. So, the call was completely satisfactory, but the result is not what I wished. Not the city or Austin energy ‘s fault at all.</t>
  </si>
  <si>
    <t>I’m sorry to say I don’t remember.</t>
  </si>
  <si>
    <t>Deborah</t>
  </si>
  <si>
    <t>deborahcfreeman@yahoo.com</t>
  </si>
  <si>
    <t>5129635352</t>
  </si>
  <si>
    <t>10 Sep 2025 - 16:11:50 CDT</t>
  </si>
  <si>
    <t>13785</t>
  </si>
  <si>
    <t>Machine</t>
  </si>
  <si>
    <t>No</t>
  </si>
  <si>
    <t>Duh</t>
  </si>
  <si>
    <t>We’re not well informed.</t>
  </si>
  <si>
    <t>Gigg</t>
  </si>
  <si>
    <t>Mark</t>
  </si>
  <si>
    <t>Thomas</t>
  </si>
  <si>
    <t>markothomas88@yahoo.com</t>
  </si>
  <si>
    <t>5126581006</t>
  </si>
  <si>
    <t>10 Sep 2025 - 16:30:17 CDT</t>
  </si>
  <si>
    <t>9108</t>
  </si>
  <si>
    <t>The bill was very high whereas I spent 80% of my time out busy with work.</t>
  </si>
  <si>
    <t>Na</t>
  </si>
  <si>
    <t>They're quite quick to respond though.</t>
  </si>
  <si>
    <t>How to manage electricity consumption in your house 🏠.</t>
  </si>
  <si>
    <t>The representative was good and kind but my issue was not resolved because it was at her power to do that.</t>
  </si>
  <si>
    <t>Elvis</t>
  </si>
  <si>
    <t>Fuenganghare</t>
  </si>
  <si>
    <t>elvisfueng@gmail.com</t>
  </si>
  <si>
    <t>5127059947</t>
  </si>
  <si>
    <t>10 Sep 2025 - 16:49:36 CDT</t>
  </si>
  <si>
    <t>18076</t>
  </si>
  <si>
    <t>Responding via punching in a numerical code for whatever service needed was easy &amp; clear to understand</t>
  </si>
  <si>
    <t>I was provided with the info I needed easily</t>
  </si>
  <si>
    <t>I think this is an easy way to communicate to obtain very basic acct info</t>
  </si>
  <si>
    <t>Didn’t hardly have to wait for an answer</t>
  </si>
  <si>
    <t>I apologize I do not recall hearing anything while on hold</t>
  </si>
  <si>
    <t>Hours of operation, alternate ways to contact support or any other self-serve options</t>
  </si>
  <si>
    <t>I wasn’t allowed to do any type of payment plan so we could to discuss it</t>
  </si>
  <si>
    <t>White &amp; Mexican American</t>
  </si>
  <si>
    <t>Christel</t>
  </si>
  <si>
    <t>Stautzenberger</t>
  </si>
  <si>
    <t>christelstautzenberger1@gmail.com</t>
  </si>
  <si>
    <t>5122966481</t>
  </si>
  <si>
    <t>10 Sep 2025 - 17:00:54 CDT</t>
  </si>
  <si>
    <t>10107</t>
  </si>
  <si>
    <t>Leave phone number for call back</t>
  </si>
  <si>
    <t>Mo</t>
  </si>
  <si>
    <t>Mary</t>
  </si>
  <si>
    <t>McCauley</t>
  </si>
  <si>
    <t>mccauley_kay@yahoo.com</t>
  </si>
  <si>
    <t>5129176047</t>
  </si>
  <si>
    <t>10 Sep 2025 - 17:36:09 CDT</t>
  </si>
  <si>
    <t>1641</t>
  </si>
  <si>
    <t>Medical program</t>
  </si>
  <si>
    <t>Easy to connect to a human</t>
  </si>
  <si>
    <t>Handled my request immediately</t>
  </si>
  <si>
    <t>What I expected. Not long or shorter</t>
  </si>
  <si>
    <t>I don’t remember</t>
  </si>
  <si>
    <t>What services can be done on line</t>
  </si>
  <si>
    <t>Diane</t>
  </si>
  <si>
    <t>Blastic</t>
  </si>
  <si>
    <t>Dianeblastic@hotmail.com</t>
  </si>
  <si>
    <t>8087723082</t>
  </si>
  <si>
    <t>10 Sep 2025 - 19:03:09 CDT</t>
  </si>
  <si>
    <t>25326</t>
  </si>
  <si>
    <t>That major storm on the east side that wiped out many trees and broke windows..... We called because our power was still not on after several days.</t>
  </si>
  <si>
    <t>We got the information we needed</t>
  </si>
  <si>
    <t>I’d rather communicate by phone with a person</t>
  </si>
  <si>
    <t>Information on other ways of contact or power outages</t>
  </si>
  <si>
    <t>Cat</t>
  </si>
  <si>
    <t>Drago</t>
  </si>
  <si>
    <t>Catdrago@gmail.com</t>
  </si>
  <si>
    <t>214-686-3100</t>
  </si>
  <si>
    <t>10 Sep 2025 - 20:01:40 CDT</t>
  </si>
  <si>
    <t>19522</t>
  </si>
  <si>
    <t>All of the above</t>
  </si>
  <si>
    <t>Straightforward</t>
  </si>
  <si>
    <t>Scheduled change of service easily</t>
  </si>
  <si>
    <t>Direct - one step</t>
  </si>
  <si>
    <t>Negligible</t>
  </si>
  <si>
    <t>Don’t recall.</t>
  </si>
  <si>
    <t>Estimated wait time</t>
  </si>
  <si>
    <t>Weekly updates by email</t>
  </si>
  <si>
    <t>Estes</t>
  </si>
  <si>
    <t>estesmd@gmail.com</t>
  </si>
  <si>
    <t>5127312592</t>
  </si>
  <si>
    <t>11 Sep 2025 - 07:00:54 CDT</t>
  </si>
  <si>
    <t>18633</t>
  </si>
  <si>
    <t>Understand the electric/ solar bill</t>
  </si>
  <si>
    <t>The bill is not explanatory</t>
  </si>
  <si>
    <t>Did not take my concerns seriously</t>
  </si>
  <si>
    <t>See above</t>
  </si>
  <si>
    <t>Fair</t>
  </si>
  <si>
    <t>The bill needs more explanation of what each charge or credit is.</t>
  </si>
  <si>
    <t>Taken my issue to someone who could make changes to the bill</t>
  </si>
  <si>
    <t>I have already explained</t>
  </si>
  <si>
    <t>James</t>
  </si>
  <si>
    <t>Soper</t>
  </si>
  <si>
    <t>jimiekimo@gmail.com</t>
  </si>
  <si>
    <t>5126804952</t>
  </si>
  <si>
    <t>11 Sep 2025 - 07:52:26 CDT</t>
  </si>
  <si>
    <t>285</t>
  </si>
  <si>
    <t>Don't remember</t>
  </si>
  <si>
    <t>She was awesome.</t>
  </si>
  <si>
    <t>Gisele</t>
  </si>
  <si>
    <t>Norris</t>
  </si>
  <si>
    <t>gigiharvey79@gmail.com</t>
  </si>
  <si>
    <t>512-375-5826</t>
  </si>
  <si>
    <t>11 Sep 2025 - 08:50:32 CDT</t>
  </si>
  <si>
    <t>16158</t>
  </si>
  <si>
    <t>Nice music</t>
  </si>
  <si>
    <t>Costello</t>
  </si>
  <si>
    <t>nation529@yahoo.com</t>
  </si>
  <si>
    <t>5126320606</t>
  </si>
  <si>
    <t>11 Sep 2025 - 12:42:03 CDT</t>
  </si>
  <si>
    <t>11662</t>
  </si>
  <si>
    <t>I do not recall, this was months ago.</t>
  </si>
  <si>
    <t>Possibility to talk to an agent in a quick manner and not scroll through long menus.</t>
  </si>
  <si>
    <t>The reason I contacted you is because after many years of being a client, I missed one.. Yes... One, payment.  And this was because I have an automatic draft from one account to another to fund for my home's expenses (electricity included).  One month this wire was not done by the bank (apparently the schedule "expired", so I had to extend it again).  Long story short, the agent told me that because of this missed payment, I had to go personally from now on to pay at any of the authorized locations. This not only is a waste of my time, but it is not reasonable.  This makes it more likely I might miss a due date if I am not home or traveling as opposed to having it be drafted from my account as it has been done for years.  One month. One missed payment. And perfectly explained what happened. It almost seems like you punish your clients and have no regard to history or providing a courteous and polite service.</t>
  </si>
  <si>
    <t>Take the time to figure out I have been a client for many years and never missed a payment.  And use criteria to decide how to treat this case, which seems pretty straight forward.  'No problem sir, we understand this happens. Please make sure automatic payments are reinstated so we don’t have issues in the future. Thanks for being a client".  Does not seem like to much to ask.  As opposed to: "since you missed a payment, you are now not eligible for automatic online payments and you have to go in person for a full year".   Not only does this not make any sense and is quite frankly, rude.</t>
  </si>
  <si>
    <t>PATRICIO</t>
  </si>
  <si>
    <t>LEBRIJA</t>
  </si>
  <si>
    <t>PATLEBRIJA@GMAIL.COM</t>
  </si>
  <si>
    <t>5127500087</t>
  </si>
  <si>
    <t>11 Sep 2025 - 09:57:00 CDT</t>
  </si>
  <si>
    <t>2321</t>
  </si>
  <si>
    <t>Website for payment not letting me pay</t>
  </si>
  <si>
    <t>Last 2 months I have not been able to pay my bill on line. I tried for a couple of days, system kept telling me password was incorrect.  First I call to report this a very nice lady got me to change password by giving me the standard COA password. I was able to pay. The following month same thing. I don't know what is wrong with your system but it needs to be looked into.</t>
  </si>
  <si>
    <t>Don't remember.</t>
  </si>
  <si>
    <t>Have no idea</t>
  </si>
  <si>
    <t>Davilla</t>
  </si>
  <si>
    <t>mary_davilla@yahoo.com</t>
  </si>
  <si>
    <t>5122289490</t>
  </si>
  <si>
    <t>11 Sep 2025 - 10:25:27 CDT</t>
  </si>
  <si>
    <t>2872</t>
  </si>
  <si>
    <t>Paula</t>
  </si>
  <si>
    <t>Beaird</t>
  </si>
  <si>
    <t>Paulitab1@gmail.com</t>
  </si>
  <si>
    <t>5122667995</t>
  </si>
  <si>
    <t>11 Sep 2025 - 10:49:32 CDT</t>
  </si>
  <si>
    <t>4192</t>
  </si>
  <si>
    <t>Plus funds account other account information</t>
  </si>
  <si>
    <t>Good afternoon.  I have had so many problems with city of Austin utilities employees at least seven possibly more in regards to my plus one funds and requests of the notes on my account all of this since May of 2025. I've not ever had problems before. Like this I’m really shocked can someone please ask Mr. Stuart Reily to contact me. Not Cassandra Ragland. Mr. Khan knew about these problems and did nothing to help. He retired days after. Thank you for your time.  God bless you. Have a blessed Thursday.</t>
  </si>
  <si>
    <t>Accurate</t>
  </si>
  <si>
    <t>They all need to be more honest! Don’t lie to people!</t>
  </si>
  <si>
    <t>I've been waiting since may of 2025</t>
  </si>
  <si>
    <t>They need to follow-up with people</t>
  </si>
  <si>
    <t>Black American Indian</t>
  </si>
  <si>
    <t>Lavon</t>
  </si>
  <si>
    <t>Reed</t>
  </si>
  <si>
    <t>Lavonreed69@gmail.com</t>
  </si>
  <si>
    <t>737-351-0233</t>
  </si>
  <si>
    <t>11 Sep 2025 - 13:16:52 CDT</t>
  </si>
  <si>
    <t>8443</t>
  </si>
  <si>
    <t>Y’all give me updates on electricity and water usage</t>
  </si>
  <si>
    <t>Riley</t>
  </si>
  <si>
    <t>Boudreaux</t>
  </si>
  <si>
    <t>rboudreaux52@att.net</t>
  </si>
  <si>
    <t>5122893436</t>
  </si>
  <si>
    <t>11 Sep 2025 - 14:50:50 CDT</t>
  </si>
  <si>
    <t>11100</t>
  </si>
  <si>
    <t>The system was understandable</t>
  </si>
  <si>
    <t>They help you with receiving help on your utility bills</t>
  </si>
  <si>
    <t>Spoke in plain English and revised it so I could understand</t>
  </si>
  <si>
    <t>Wait time was great</t>
  </si>
  <si>
    <t>Williams</t>
  </si>
  <si>
    <t>mwswann313@yahoo.com</t>
  </si>
  <si>
    <t>5124296273</t>
  </si>
  <si>
    <t>11 Sep 2025 - 16:30:36 CDT</t>
  </si>
  <si>
    <t>11048</t>
  </si>
  <si>
    <t>Billing</t>
  </si>
  <si>
    <t>After many calls to multiple service agents, I still cannot get COA to send me an invoice or billing statement.  They do have my bank info, and they do draft the account monthly for an amount.  No problems with the account being paid up and current.  I just don't know what you're charging me, and when.  I cannot get a statement sent to me my mail or email.  The other account at this address does in fact get invoiced, billed, drafted and paid without problem.  Why not both of them?  And why do I have two accounts anyway?  One for trash/water and services, and a separate one for power?</t>
  </si>
  <si>
    <t>Wait time longer than 2 mins</t>
  </si>
  <si>
    <t>.</t>
  </si>
  <si>
    <t>She simply aid that she would take care of it, and that I should wait 6-8 weeks.  To see if anything happened, I guess.  In other words, there was no sense of ownership on her part to see the problem completely resolved.  The attitude of Coa utilities seems to be that it's the customer's problem.</t>
  </si>
  <si>
    <t>Already told you</t>
  </si>
  <si>
    <t>Paul</t>
  </si>
  <si>
    <t>Griffiths</t>
  </si>
  <si>
    <t>ccr@joseph-bolton.com</t>
  </si>
  <si>
    <t>5129179521</t>
  </si>
  <si>
    <t>11 Sep 2025 - 17:17:17 CDT</t>
  </si>
  <si>
    <t>17442</t>
  </si>
  <si>
    <t>Discount program</t>
  </si>
  <si>
    <t>Questions answered well</t>
  </si>
  <si>
    <t>Didn't have to press 1 for English</t>
  </si>
  <si>
    <t>Can't remember</t>
  </si>
  <si>
    <t>Everything was fine</t>
  </si>
  <si>
    <t>was completely satisfied.</t>
  </si>
  <si>
    <t>Jack</t>
  </si>
  <si>
    <t>Wells</t>
  </si>
  <si>
    <t>indianjack@juno.com</t>
  </si>
  <si>
    <t>5122913295</t>
  </si>
  <si>
    <t>11 Sep 2025 - 17:44:35 CDT</t>
  </si>
  <si>
    <t>22941</t>
  </si>
  <si>
    <t>Usage email, payment email</t>
  </si>
  <si>
    <t>Melanie</t>
  </si>
  <si>
    <t>Welch</t>
  </si>
  <si>
    <t>melaniekwelch@gmail.com</t>
  </si>
  <si>
    <t>5122697176</t>
  </si>
  <si>
    <t>11 Sep 2025 - 17:44:03 CDT</t>
  </si>
  <si>
    <t>3535</t>
  </si>
  <si>
    <t>I try not to listen when I’m on hold, because most hold messages are telling me how important I am to a company unwilling to staff a call center--their primary means of *interaction* with me--properly.</t>
  </si>
  <si>
    <t>7 is not so bad</t>
  </si>
  <si>
    <t>Steven</t>
  </si>
  <si>
    <t>High</t>
  </si>
  <si>
    <t>ranya@swbell.net</t>
  </si>
  <si>
    <t>512-968-4244</t>
  </si>
  <si>
    <t>11 Sep 2025 - 17:57:26 CDT</t>
  </si>
  <si>
    <t>2969</t>
  </si>
  <si>
    <t>My bill was on auto-pay.  During the Christmas holiday I didn’t have enough money in account to cover the payment.  I needed to move money into the account.  I didn’t receive any notification that I had not paid the bill and it happened again the next month.  Austin energy solution was to punish the consumer.  First by making them go to a location and pay cash, in addition they took me off bill averaging program.  This makes it more expensive for consumers and is unnecessary except to be punitive.</t>
  </si>
  <si>
    <t>Nothing to comment on</t>
  </si>
  <si>
    <t>Number in queen and how long the wait will be.</t>
  </si>
  <si>
    <t>Nothing but had no authority to address my request.</t>
  </si>
  <si>
    <t>Allow averaging to continue after bill was brought current</t>
  </si>
  <si>
    <t>Chuck</t>
  </si>
  <si>
    <t>Rice</t>
  </si>
  <si>
    <t>crice@chuckricegroup.com</t>
  </si>
  <si>
    <t>5128040100</t>
  </si>
  <si>
    <t>11 Sep 2025 - 20:02:11 CDT</t>
  </si>
  <si>
    <t>26758</t>
  </si>
  <si>
    <t>All 3</t>
  </si>
  <si>
    <t>It was</t>
  </si>
  <si>
    <t>It did</t>
  </si>
  <si>
    <t>Not too long</t>
  </si>
  <si>
    <t>No memory, so it wasn’t too bad</t>
  </si>
  <si>
    <t>Where I am in the queue and how long it would take an opportunity to be called back instead of holding</t>
  </si>
  <si>
    <t>Elizabeth</t>
  </si>
  <si>
    <t>McLean</t>
  </si>
  <si>
    <t>rebmclean@gmail.com</t>
  </si>
  <si>
    <t>2149959942</t>
  </si>
  <si>
    <t>11 Sep 2025 - 21:51:59 CDT</t>
  </si>
  <si>
    <t>486</t>
  </si>
  <si>
    <t>It was pretty clear</t>
  </si>
  <si>
    <t>I prefer a human, but call trees are a necessary evil</t>
  </si>
  <si>
    <t>Short wait</t>
  </si>
  <si>
    <t>Patrick</t>
  </si>
  <si>
    <t>Norsch</t>
  </si>
  <si>
    <t>Pnorsch@gmail.com</t>
  </si>
  <si>
    <t>512820 8740</t>
  </si>
  <si>
    <t>11 Sep 2025 - 22:32:51 CDT</t>
  </si>
  <si>
    <t>12347</t>
  </si>
  <si>
    <t>Seemed easy enough</t>
  </si>
  <si>
    <t>C</t>
  </si>
  <si>
    <t>Crocker</t>
  </si>
  <si>
    <t>cpricecrocker@gmail.com</t>
  </si>
  <si>
    <t>5128368759</t>
  </si>
  <si>
    <t>11 Sep 2025 - 23:39:55 CDT</t>
  </si>
  <si>
    <t>19693</t>
  </si>
  <si>
    <t>Autopay inquiry</t>
  </si>
  <si>
    <t>K</t>
  </si>
  <si>
    <t>Mac</t>
  </si>
  <si>
    <t>kmacl444@yahoo.com</t>
  </si>
  <si>
    <t>5124369425</t>
  </si>
  <si>
    <t>12 Sep 2025 - 10:24:06 CDT</t>
  </si>
  <si>
    <t>22897</t>
  </si>
  <si>
    <t>The man was very mean when I need help</t>
  </si>
  <si>
    <t>The man was very mean</t>
  </si>
  <si>
    <t>Someone be with you when it’s your turn</t>
  </si>
  <si>
    <t>Well he just said that I needed to pay my bill, I told him I was in the hospital and I just need to pay my bill he couldn’t help me</t>
  </si>
  <si>
    <t>To understand my situation but that didn't happen</t>
  </si>
  <si>
    <t>I had a young man that came to my house and put me on a program to help me with my situation</t>
  </si>
  <si>
    <t>Linda</t>
  </si>
  <si>
    <t>Martinez</t>
  </si>
  <si>
    <t>Linda.mtz02@gmail.com</t>
  </si>
  <si>
    <t>737 235 2503</t>
  </si>
  <si>
    <t>12 Sep 2025 - 11:36:38 CDT</t>
  </si>
  <si>
    <t>19570</t>
  </si>
  <si>
    <t>Transferred service, one agent says I don’t need to put another deposit because I’m a customer,</t>
  </si>
  <si>
    <t>The next agent says I do, I sent emails with no response and the deposit is incurring late fees so I am at your mercy and nothing I say matters.</t>
  </si>
  <si>
    <t>2</t>
  </si>
  <si>
    <t>Don’t put it so loud.</t>
  </si>
  <si>
    <t>Read prior notes</t>
  </si>
  <si>
    <t>Nothing I said mattered</t>
  </si>
  <si>
    <t>Call agents need to be on the same page, one says something and another one says something else, whatever is in the city’s favor “wins”</t>
  </si>
  <si>
    <t>Sweeney</t>
  </si>
  <si>
    <t>Mswurdygurl@yahoo.com</t>
  </si>
  <si>
    <t>5125895413</t>
  </si>
  <si>
    <t>12 Sep 2025 - 11:18:51 CDT</t>
  </si>
  <si>
    <t>17774</t>
  </si>
  <si>
    <t>Setting up autopay</t>
  </si>
  <si>
    <t>I had to talk with someone as I remember</t>
  </si>
  <si>
    <t>I remember the hold time over 5 minutes</t>
  </si>
  <si>
    <t>I don’t recall</t>
  </si>
  <si>
    <t>Something specific to my account.</t>
  </si>
  <si>
    <t>Robert</t>
  </si>
  <si>
    <t>Cahn</t>
  </si>
  <si>
    <t>robertcahn@hotmail.com</t>
  </si>
  <si>
    <t>9173123409</t>
  </si>
  <si>
    <t>12 Sep 2025 - 11:23:04 CDT</t>
  </si>
  <si>
    <t>1735</t>
  </si>
  <si>
    <t>They never understand me</t>
  </si>
  <si>
    <t>No idea lol</t>
  </si>
  <si>
    <t>Lisa</t>
  </si>
  <si>
    <t>Thompson</t>
  </si>
  <si>
    <t>lisalacythompson@gmail.com</t>
  </si>
  <si>
    <t>4352149295</t>
  </si>
  <si>
    <t>12 Sep 2025 - 11:22:47 CDT</t>
  </si>
  <si>
    <t>14419</t>
  </si>
  <si>
    <t>It was easy to use</t>
  </si>
  <si>
    <t>Simple</t>
  </si>
  <si>
    <t>No wait</t>
  </si>
  <si>
    <t>Email on the new system</t>
  </si>
  <si>
    <t>Martin</t>
  </si>
  <si>
    <t>Wennerstrom</t>
  </si>
  <si>
    <t>km5ct@arrl.net</t>
  </si>
  <si>
    <t>5129703774</t>
  </si>
  <si>
    <t>12 Sep 2025 - 13:20:56 CDT</t>
  </si>
  <si>
    <t>13765</t>
  </si>
  <si>
    <t>There isn't a lot of it so you still get to the agent quickly</t>
  </si>
  <si>
    <t>It gets to the point</t>
  </si>
  <si>
    <t>It seems human-ish</t>
  </si>
  <si>
    <t>There is no wait time typically</t>
  </si>
  <si>
    <t>Alyona</t>
  </si>
  <si>
    <t>DelaCoeur</t>
  </si>
  <si>
    <t>alyd4889@gmail.com</t>
  </si>
  <si>
    <t>2064539569</t>
  </si>
  <si>
    <t>12 Sep 2025 - 16:41:47 CDT</t>
  </si>
  <si>
    <t>19679</t>
  </si>
  <si>
    <t>They simply kept changing info they gave us</t>
  </si>
  <si>
    <t>Uninformed employees</t>
  </si>
  <si>
    <t>Do not</t>
  </si>
  <si>
    <t>Info on the city wide outages</t>
  </si>
  <si>
    <t>Citywide outage had no info</t>
  </si>
  <si>
    <t>Have an actual message to those of us experiencing an outage, even a " sorry , we are not sure"</t>
  </si>
  <si>
    <t>Chloe</t>
  </si>
  <si>
    <t>Midia</t>
  </si>
  <si>
    <t>Chloe.midia@gmail.com</t>
  </si>
  <si>
    <t>5129053815</t>
  </si>
  <si>
    <t>12 Sep 2025 - 19:45:54 CDT</t>
  </si>
  <si>
    <t>22103</t>
  </si>
  <si>
    <t>Power outage; text messages saying it was on, it was not; told to call, offices closed, no power forv5cdays in May/June is not ok or is bad information and no way to get true information or updates.</t>
  </si>
  <si>
    <t>No live person option; no option for immediate crisis</t>
  </si>
  <si>
    <t>Miscommunication and false information</t>
  </si>
  <si>
    <t>Inefficient</t>
  </si>
  <si>
    <t>Need call back feature to queue calls</t>
  </si>
  <si>
    <t>They never called!</t>
  </si>
  <si>
    <t>They did not return call. They did not know anything. The whole situation was not ok</t>
  </si>
  <si>
    <t>Send texts that are correct. Have live cars when crisis is happening on phones. Time to respond and support a city the size of Austin efficiently or allow other providers in market</t>
  </si>
  <si>
    <t>Jill</t>
  </si>
  <si>
    <t>Klucher</t>
  </si>
  <si>
    <t>Jillklucher@gmail.com</t>
  </si>
  <si>
    <t>5125874878</t>
  </si>
  <si>
    <t>13 Sep 2025 - 09:43:59 CDT</t>
  </si>
  <si>
    <t>18651</t>
  </si>
  <si>
    <t>Just bills</t>
  </si>
  <si>
    <t>Yes</t>
  </si>
  <si>
    <t>Just adjustable bill</t>
  </si>
  <si>
    <t>Korley</t>
  </si>
  <si>
    <t>Blaboe</t>
  </si>
  <si>
    <t>korley_1@yahoo.com</t>
  </si>
  <si>
    <t>'+1 512-775-5464</t>
  </si>
  <si>
    <t>14 Sep 2025 - 16:26:39 CDT</t>
  </si>
  <si>
    <t>13507</t>
  </si>
  <si>
    <t>Reported me to credit bureau. I had to stop mail service because of mail theft.</t>
  </si>
  <si>
    <t>Wasn’t able to get a loan because reporting to credit bureau. Mail theft caused us to stop mail.</t>
  </si>
  <si>
    <t>We had an office in an area consumed by mail theft and had stopped mail as a result. The account was supposed to be on auto pay and ae reported me to the credit bureaus. I paid and was told it could be removed but required supervisor approval. Was told no supervisors were available and would receive a call back. I never received one. Called again and was told the same thing. No call back. Out of frustration I finally forced a call and got connected to an equally angry supervisor. It was not resolved and never removed. It’s the only blemish on my credit.</t>
  </si>
  <si>
    <t>?</t>
  </si>
  <si>
    <t>It’s a small amount of money that was owed and I had never had this level of problems with any other utility companies, like pec. Your attitudes at ae are destructive to people’s credit over such a small amount of money.</t>
  </si>
  <si>
    <t>Had supervisors available that understand when a customer calls in and has to be passed around, placed on a call back list to only not be called back, and could be frustrated about the experience, could be professional and know that the customer is upset at the situation and not the individual.</t>
  </si>
  <si>
    <t>Irwin</t>
  </si>
  <si>
    <t>Jamesirwin@austin.rr.com</t>
  </si>
  <si>
    <t>5128489445</t>
  </si>
  <si>
    <t>14 Sep 2025 - 18:56:34 CDT</t>
  </si>
  <si>
    <t>15745</t>
  </si>
  <si>
    <t>Unknown fee on electricity bill</t>
  </si>
  <si>
    <t>Unknown fee on bill</t>
  </si>
  <si>
    <t>When I call, I want to talk to a live person. I do everything else online</t>
  </si>
  <si>
    <t>I do not remember. I called forwarded several times</t>
  </si>
  <si>
    <t>City of Austin news, events, etc.</t>
  </si>
  <si>
    <t>No one could explain what/why the $15 transportation fee is for on my electricity bill</t>
  </si>
  <si>
    <t>Knowledge about all the unnecessary fees charged to the customer</t>
  </si>
  <si>
    <t>Knowledge about all the extra fees and taxes charged to the customers</t>
  </si>
  <si>
    <t>Deb</t>
  </si>
  <si>
    <t>Will</t>
  </si>
  <si>
    <t>debandsons@gmail.com</t>
  </si>
  <si>
    <t>15 Sep 2025 - 18:33:55 CDT</t>
  </si>
  <si>
    <t>15925</t>
  </si>
  <si>
    <t>Conservation info</t>
  </si>
  <si>
    <t>I wanted to get info about energy and water conservation audits</t>
  </si>
  <si>
    <t>I got put on hold and never got to speak to a person</t>
  </si>
  <si>
    <t>I got put on hold and NEVER got to speak to a person</t>
  </si>
  <si>
    <t>Have someone available to talk to about conservation audits during business hours.</t>
  </si>
  <si>
    <t>Becky</t>
  </si>
  <si>
    <t>Brenner</t>
  </si>
  <si>
    <t>jbbwanders@gmail.com</t>
  </si>
  <si>
    <t>5126320137</t>
  </si>
  <si>
    <t>15 Sep 2025 - 22:40:08 CDT</t>
  </si>
  <si>
    <t>10870</t>
  </si>
  <si>
    <t>Communication issues</t>
  </si>
  <si>
    <t>N/a, don't recall, guessing there were announcements and/or giving COA website info</t>
  </si>
  <si>
    <t>Spa announcements related to utilities.</t>
  </si>
  <si>
    <t>laur</t>
  </si>
  <si>
    <t>along</t>
  </si>
  <si>
    <t>lauralong@duck.com</t>
  </si>
  <si>
    <t>5125125125</t>
  </si>
  <si>
    <t>16 Sep 2025 - 10:38:02 CDT</t>
  </si>
  <si>
    <t>12404</t>
  </si>
  <si>
    <t>Easy to call and connect to agent</t>
  </si>
  <si>
    <t>My questions were all answered</t>
  </si>
  <si>
    <t>Easy to talk to a knowledgeable person who understood immediately what I was asking for</t>
  </si>
  <si>
    <t>Call was answered within a minute</t>
  </si>
  <si>
    <t>Sean</t>
  </si>
  <si>
    <t>Owen</t>
  </si>
  <si>
    <t>srowen@gmail.com</t>
  </si>
  <si>
    <t>7372170020</t>
  </si>
  <si>
    <t>16 Sep 2025 - 10:50:05 CDT</t>
  </si>
  <si>
    <t>8662</t>
  </si>
  <si>
    <t>Help for low income family</t>
  </si>
  <si>
    <t>Assistance with bills</t>
  </si>
  <si>
    <t>It is.</t>
  </si>
  <si>
    <t>I have applied for assistance with our bill. I sent copy of gross income ($29,782. Sent copy of social security payments. Refused because I did not get financial aid from other agencies. I filed 4 times and every time it was another reason e.g. I sure sign my name on back of papers I sent. I am very frustrated.</t>
  </si>
  <si>
    <t>Answered in timely manner. Person was polite.</t>
  </si>
  <si>
    <t>As above</t>
  </si>
  <si>
    <t>Be more informed about assistance process. Every time I called it was a different answer.</t>
  </si>
  <si>
    <t>I am still waiting for assistance with my bill.</t>
  </si>
  <si>
    <t>.1. Know more about requirements for applying for help. 2. I read the application thoroughly and filled it out to the best of my ability.</t>
  </si>
  <si>
    <t>Patricia</t>
  </si>
  <si>
    <t>Turner</t>
  </si>
  <si>
    <t>Pturner037@gmail.com</t>
  </si>
  <si>
    <t>678-642-3715</t>
  </si>
  <si>
    <t>16 Sep 2025 - 11:59:19 CDT</t>
  </si>
  <si>
    <t>12833</t>
  </si>
  <si>
    <t>No brainer</t>
  </si>
  <si>
    <t>Same</t>
  </si>
  <si>
    <t>Necessary evil</t>
  </si>
  <si>
    <t>Ok - not a busy day</t>
  </si>
  <si>
    <t>Don't remember - generally ignore anyway</t>
  </si>
  <si>
    <t>I like callback info and off-ramp process - did not use this time but would if long wait time announced.</t>
  </si>
  <si>
    <t>These categories are stupid - from former census worker !</t>
  </si>
  <si>
    <t>Ronald</t>
  </si>
  <si>
    <t>Vasey</t>
  </si>
  <si>
    <t>rvasey44@gmail.com</t>
  </si>
  <si>
    <t>5122173797</t>
  </si>
  <si>
    <t>16 Sep 2025 - 12:16:44 CDT</t>
  </si>
  <si>
    <t>21331</t>
  </si>
  <si>
    <t>Recycling container not picked up for my address as well as my entire street.</t>
  </si>
  <si>
    <t>I am very familiar with these types of systems. I found it easy to use.</t>
  </si>
  <si>
    <t>Effective</t>
  </si>
  <si>
    <t>Call answered quickly</t>
  </si>
  <si>
    <t>D</t>
  </si>
  <si>
    <t>Saenz</t>
  </si>
  <si>
    <t>rhumstone@att.net</t>
  </si>
  <si>
    <t>5125608949</t>
  </si>
  <si>
    <t>16 Sep 2025 - 12:24:57 CDT</t>
  </si>
  <si>
    <t>2985</t>
  </si>
  <si>
    <t>Garbage bin</t>
  </si>
  <si>
    <t>My garbage bin was taken away, when they did the normal weekly pick up. I called to let them know and that I needed a replacement garbage bin.</t>
  </si>
  <si>
    <t>Department name and their extension in case we get disconnected.</t>
  </si>
  <si>
    <t>I had been transferred to wrong department</t>
  </si>
  <si>
    <t>Checking backing to make sure the call was not disconnected on their end.</t>
  </si>
  <si>
    <t>They need to be more specific on delivery of bin; I had to call 3 times because the delivery day of the bin was not delivered on the 3 days I was told it was going to be delivered.</t>
  </si>
  <si>
    <t>i had to call 3x to finally get my bin replaced</t>
  </si>
  <si>
    <t>Nothing more at this time, thank you for your concern on my customer service satisfaction.</t>
  </si>
  <si>
    <t>Solis</t>
  </si>
  <si>
    <t>lindasolis2000@gmail.com</t>
  </si>
  <si>
    <t>3107200685</t>
  </si>
  <si>
    <t>16 Sep 2025 - 12:53:44 CDT</t>
  </si>
  <si>
    <t>7410</t>
  </si>
  <si>
    <t>We have contacted 311 multiple times to resolve getting our garbage picked up! We have lived at this corner lot residence since 1984. This has been an ongoing problem for as long as I can remember. We have tried putting the cans in front of the house, on the side entry garage side of our house &amp; even placing the recycle in the front and garbage on the side.  Last week I flagged down a trash truck that works the opposite side of the street and explained our saga. He stated that the trash should be picked up regardless of which side it is on. He was nice enough to pick up our trash which was out of his route. I even had one driver tell me years back that I was trying to get 2 pickups by having trash picked up on one side and filling the can again and moving it to the other side. That is ridiculous!</t>
  </si>
  <si>
    <t>Do as promised and pick up the trash within 48 hours! Never happed in recent calls twice. One elevated to the supervise stating, “we have a picture and there was no garbage can there”. Really??</t>
  </si>
  <si>
    <t>Johnnie F</t>
  </si>
  <si>
    <t>Hajek Jr</t>
  </si>
  <si>
    <t>stirringro@hotmail.com</t>
  </si>
  <si>
    <t>5126361258</t>
  </si>
  <si>
    <t>16 Sep 2025 - 13:05:38 CDT</t>
  </si>
  <si>
    <t>7418</t>
  </si>
  <si>
    <t>When will they remove the od utility pole on my property that they replaced with a new pole last yea</t>
  </si>
  <si>
    <t>Voice response systems are a pain</t>
  </si>
  <si>
    <t>They don't ever provide the information I need</t>
  </si>
  <si>
    <t>The worst. I want a live person who can actually answer my specific questions</t>
  </si>
  <si>
    <t>Irrelevant since waiting for poor service is a waste</t>
  </si>
  <si>
    <t>I don't listen to the hold messages. I put the phone down until I hear a real person.</t>
  </si>
  <si>
    <t>Nothing. Just get me to a person.</t>
  </si>
  <si>
    <t>Not their fault. I was told it was basically up to me to contact other utilities about getting their wires moved off the old pole and they rep had no information on when the old pole might be removed except that the other wires had to be gone first. So basically Austin energy would do nothing, not even contact the other utilities, it was up to me. Very not satisfactory, especially since I don't even know whose sites are up there.</t>
  </si>
  <si>
    <t>I was basically told I had to do the footwork myself, which is absurd,</t>
  </si>
  <si>
    <t>Austin energy could actually complete a job they started. The guys who put up the new poke and moved the electric stuff over told me ae would be contacting the other utilities using the old pole to get them to move their wires and the old pole would be removed. That was more than a year ago and nothing has been done and I have a bunch of unsightly wires hanging so low that I can run my hands over them.</t>
  </si>
  <si>
    <t>RONA</t>
  </si>
  <si>
    <t>DISTENFELD</t>
  </si>
  <si>
    <t>rona@sbcglobal.net</t>
  </si>
  <si>
    <t>7372395258</t>
  </si>
  <si>
    <t>16 Sep 2025 - 14:34:39 CDT</t>
  </si>
  <si>
    <t>18903</t>
  </si>
  <si>
    <t>Hold time is always so long!</t>
  </si>
  <si>
    <t>I think it was tinny music</t>
  </si>
  <si>
    <t>Would prefer to have quiet on hold times so I can get a little work done while I wait</t>
  </si>
  <si>
    <t>I am a property manager. Often when I call in to request to start service, the attendant transfers me immediately to "commercial" and then I wait on hold again, then get transferred back to residential. It is maddening!</t>
  </si>
  <si>
    <t>Let me explain why I am calling before transferring me!!!!!!</t>
  </si>
  <si>
    <t>Sometimes it feels like the reps just don't care or are brand new and don't know the answers.</t>
  </si>
  <si>
    <t>Theresa</t>
  </si>
  <si>
    <t>Bastian</t>
  </si>
  <si>
    <t>theresa@letsmoveaustin.com</t>
  </si>
  <si>
    <t>5122973442</t>
  </si>
  <si>
    <t>16 Sep 2025 - 14:49:49 CDT</t>
  </si>
  <si>
    <t>9943</t>
  </si>
  <si>
    <t>Not sure. I rarely call Austin energy.</t>
  </si>
  <si>
    <t>Sharon</t>
  </si>
  <si>
    <t>Zakes</t>
  </si>
  <si>
    <t>Sharon2816@hotmail.com</t>
  </si>
  <si>
    <t>5127516959</t>
  </si>
  <si>
    <t>16 Sep 2025 - 15:24:11 CDT</t>
  </si>
  <si>
    <t>24515</t>
  </si>
  <si>
    <t>My recycle (green can) was not picked up. Resident at same address for 32 years and this has been a reoccurring issue.</t>
  </si>
  <si>
    <t>Only had a couple of buttons to push</t>
  </si>
  <si>
    <t>Information available, but no corrective action</t>
  </si>
  <si>
    <t>Prefer the phone. Hate apps</t>
  </si>
  <si>
    <t>Wait did not seem very long at all</t>
  </si>
  <si>
    <t>I don't recall, as I was thinking about why I have to push "1 for English" when I live in the use</t>
  </si>
  <si>
    <t>Engel</t>
  </si>
  <si>
    <t>norlegne@yahoo.com</t>
  </si>
  <si>
    <t>5123318756</t>
  </si>
  <si>
    <t>16 Sep 2025 - 16:31:22 CDT</t>
  </si>
  <si>
    <t>6660</t>
  </si>
  <si>
    <t>Water cycle</t>
  </si>
  <si>
    <t>Good</t>
  </si>
  <si>
    <t>Don’t recall</t>
  </si>
  <si>
    <t>Time and reason for wait</t>
  </si>
  <si>
    <t>Joel</t>
  </si>
  <si>
    <t>Navarro</t>
  </si>
  <si>
    <t>Joel.Navarro913@gmail.com</t>
  </si>
  <si>
    <t>512-913-6485</t>
  </si>
  <si>
    <t>16 Sep 2025 - 17:15:40 CDT</t>
  </si>
  <si>
    <t>25245</t>
  </si>
  <si>
    <t>My mother's city of Austin account</t>
  </si>
  <si>
    <t>Pretty much</t>
  </si>
  <si>
    <t>Still needed to talk to a person</t>
  </si>
  <si>
    <t>Took me awhile but I eventually got someone to help me with my issue</t>
  </si>
  <si>
    <t>Took a couple days but was not time sensitive within reason</t>
  </si>
  <si>
    <t>Changing responsibility for my mother's city of Austin account</t>
  </si>
  <si>
    <t>Actually had to be handled by email</t>
  </si>
  <si>
    <t>Not sure, my request was probably not very common.</t>
  </si>
  <si>
    <t>Tom</t>
  </si>
  <si>
    <t>Flynn</t>
  </si>
  <si>
    <t>trflynn@jtan.com</t>
  </si>
  <si>
    <t>(512) 837-0949</t>
  </si>
  <si>
    <t>16 Sep 2025 - 17:29:11 CDT</t>
  </si>
  <si>
    <t>4314</t>
  </si>
  <si>
    <t>Replace a stolen green bin</t>
  </si>
  <si>
    <t>Our green bin was stolen /taken from us on pickup day, and we wanted it back. I requested it by phone, email, etc. and finally got a response that said they would deliver one. It’s been over 2 months and we have not received it yet.</t>
  </si>
  <si>
    <t>I didn't get the help I needed</t>
  </si>
  <si>
    <t>I was not given the info I needed</t>
  </si>
  <si>
    <t>It did not advance my problem to the right people and delayed any response I did eventually get</t>
  </si>
  <si>
    <t>It sucked what can I say</t>
  </si>
  <si>
    <t>The relevant emails or phone numbers for different types of issues</t>
  </si>
  <si>
    <t>Could have told me exactly who to contact and when to call back if I didn't get the help I needed</t>
  </si>
  <si>
    <t>Tell me exactly who to contact and how to follow up if I wasn't helped (which I was not)</t>
  </si>
  <si>
    <t>Maya</t>
  </si>
  <si>
    <t>Moll</t>
  </si>
  <si>
    <t>mayagmoll@gmail.com</t>
  </si>
  <si>
    <t>5129443036</t>
  </si>
  <si>
    <t>16 Sep 2025 - 18:42:06 CDT</t>
  </si>
  <si>
    <t>23259</t>
  </si>
  <si>
    <t>Outage</t>
  </si>
  <si>
    <t>Outage per electricity for medical equipment family member</t>
  </si>
  <si>
    <t>Alice</t>
  </si>
  <si>
    <t>Watson</t>
  </si>
  <si>
    <t>watsal58@yahoo.com</t>
  </si>
  <si>
    <t>5124611500</t>
  </si>
  <si>
    <t>17 Sep 2025 - 10:16:46 CDT</t>
  </si>
  <si>
    <t>4982</t>
  </si>
  <si>
    <t>Second phone call made to have trashed picked up since was not done on regular pickup day and transferred to a closed center.</t>
  </si>
  <si>
    <t>Rep will be w/you soon</t>
  </si>
  <si>
    <t>Staffed office hours</t>
  </si>
  <si>
    <t>Knowledge of hours if operation of dept being transferred to</t>
  </si>
  <si>
    <t>Knowledge of working hours</t>
  </si>
  <si>
    <t>Audits of increased usage</t>
  </si>
  <si>
    <t>Anonymous</t>
  </si>
  <si>
    <t>You have it</t>
  </si>
  <si>
    <t>17 Sep 2025 - 10:48:16 CDT</t>
  </si>
  <si>
    <t>13584</t>
  </si>
  <si>
    <t>My need was met in no without waiting too long for a response</t>
  </si>
  <si>
    <t>Communication with an actual person is always better than an automated service</t>
  </si>
  <si>
    <t>Didn’t have to spend too long in the phone waiting</t>
  </si>
  <si>
    <t>Elisa</t>
  </si>
  <si>
    <t>Garcia</t>
  </si>
  <si>
    <t>sweetshinystar3@gmail.com</t>
  </si>
  <si>
    <t>7379322436</t>
  </si>
  <si>
    <t>17 Sep 2025 - 12:31:57 CDT</t>
  </si>
  <si>
    <t>20878</t>
  </si>
  <si>
    <t>Compost bins</t>
  </si>
  <si>
    <t>Broken compost bin</t>
  </si>
  <si>
    <t>One phone call, no long wait or being transferred</t>
  </si>
  <si>
    <t>They easily looked up my account</t>
  </si>
  <si>
    <t>Would have preferred to make the request online but nice to speak with a person</t>
  </si>
  <si>
    <t>Yes, was short</t>
  </si>
  <si>
    <t>I do not recall</t>
  </si>
  <si>
    <t>Prefer no message other than wait time, I am usually trying to multitask and messages are distracting</t>
  </si>
  <si>
    <t>V</t>
  </si>
  <si>
    <t>Mcd</t>
  </si>
  <si>
    <t>vicki@platinumdiversified.com</t>
  </si>
  <si>
    <t>512-477-1982</t>
  </si>
  <si>
    <t>17 Sep 2025 - 12:27:05 CDT</t>
  </si>
  <si>
    <t>17118</t>
  </si>
  <si>
    <t>Incorrect debit processing</t>
  </si>
  <si>
    <t>Austin energy erroneously debited my previous bank account via auto pay rather than the bank account on file causing an overdraft charge. Likewise, they’ve done zero investigation to resolve this issue. Therefore, I must discontinue using the auto payment service to protect myself going forward!</t>
  </si>
  <si>
    <t>Pass</t>
  </si>
  <si>
    <t>Actually investigating the concerns</t>
  </si>
  <si>
    <t>T</t>
  </si>
  <si>
    <t>N</t>
  </si>
  <si>
    <t>tn5130061@duck.com</t>
  </si>
  <si>
    <t>55555555555</t>
  </si>
  <si>
    <t>17 Sep 2025 - 13:32:50 CDT</t>
  </si>
  <si>
    <t>7451</t>
  </si>
  <si>
    <t>Only took a few min</t>
  </si>
  <si>
    <t>Didn’t take long</t>
  </si>
  <si>
    <t>It was fast</t>
  </si>
  <si>
    <t>Yelena</t>
  </si>
  <si>
    <t>Westberg</t>
  </si>
  <si>
    <t>yelena.westberg@gmail.com</t>
  </si>
  <si>
    <t>7148658058</t>
  </si>
  <si>
    <t>17 Sep 2025 - 14:43:09 CDT</t>
  </si>
  <si>
    <t>8738</t>
  </si>
  <si>
    <t>Long wait just to leave a message and long wait to get a return call</t>
  </si>
  <si>
    <t>Never got an answer to my question</t>
  </si>
  <si>
    <t>To get clarity on an answer</t>
  </si>
  <si>
    <t>Actually get an answer to my question</t>
  </si>
  <si>
    <t>Look at my comprehensive payment history</t>
  </si>
  <si>
    <t>X</t>
  </si>
  <si>
    <t>Xxx</t>
  </si>
  <si>
    <t>Abc@gmill.com</t>
  </si>
  <si>
    <t>0000000000</t>
  </si>
  <si>
    <t>17 Sep 2025 - 16:19:52 CDT</t>
  </si>
  <si>
    <t>12483</t>
  </si>
  <si>
    <t>19</t>
  </si>
  <si>
    <t>Why was it 2 months out together.</t>
  </si>
  <si>
    <t>Lori</t>
  </si>
  <si>
    <t>wwa2jan@gmail.</t>
  </si>
  <si>
    <t>(512998-2285</t>
  </si>
  <si>
    <t>18 Sep 2025 - 04:11:29 CDT</t>
  </si>
  <si>
    <t>1242</t>
  </si>
  <si>
    <t>I had the worst time dealing with Austin energy.</t>
  </si>
  <si>
    <t>The information was provided - but the policies were cruel.</t>
  </si>
  <si>
    <t>I had to call multiple times and was extremely first rates</t>
  </si>
  <si>
    <t>I mostly remember all the brick walls I was hitting trying to resolve my issue more than the wait time. But I will forever have a knot in my stomach when I have to deal with Austin energy</t>
  </si>
  <si>
    <t>Can't remember specifics but it was too long and not helpful</t>
  </si>
  <si>
    <t>Would prefer something at a low volume. Maybe apologies for high rates during economic crisis times like this</t>
  </si>
  <si>
    <t>I was unemployed and it took me six months - the longest ever in my life to find a good job again. I was trying to pay and resolve and kept being refused help. This was the worst problem I faced, the cruelty of taking all of my money instead of working with me as I had income again. Seriously there is a level in hell for how cruelly I was treated by Austin energy. Had a hard time buying food, but I had to keep electricity in to be able to keep working at my new job. Seriously what a horrible organization - during 100 degree heat no less!!! It should be illegal the way I was treated</t>
  </si>
  <si>
    <t>You could not refuse to help Somone trying to resolve their account, forcing them to pay all of their income after a job loss.</t>
  </si>
  <si>
    <t>They could have found a way to help me - but there seemed to be no way, even though I started to have an income again. I feel like o was being punished during extreme economic stress even though I was proactively trying to resolve my account.</t>
  </si>
  <si>
    <t>You could try actually helping customers with a workable plan when they are trying to resolve the account after a job loss. He help offered was useless, the resources weren't there, and I was told conflicted information. I called 12 times and still found no help. I tee was flatly refused even though I kept trying, and talked to several departments. I was literally asking for a week extension and was not given it.</t>
  </si>
  <si>
    <t>Sherry</t>
  </si>
  <si>
    <t>Mundell</t>
  </si>
  <si>
    <t>sherrymundell@gmail.com</t>
  </si>
  <si>
    <t>512-947-4787</t>
  </si>
  <si>
    <t>18 Sep 2025 - 23:50:51 CDT</t>
  </si>
  <si>
    <t>13797</t>
  </si>
  <si>
    <t>Cheap</t>
  </si>
  <si>
    <t>Your people dumb.... wow a system can’t put or apply cheap credits....and I have over payments these amounts vanished no pay figure it out</t>
  </si>
  <si>
    <t>Fix my bill cheap etc. credit you morons don’t apply no time</t>
  </si>
  <si>
    <t>Get these morons back to word. Hear their screaming kids in the background.... fix my bill</t>
  </si>
  <si>
    <t>dum</t>
  </si>
  <si>
    <t>Omg if you can’t figure the morons working for you,,,,shame on you   you not us should tell you about your ppl.....fix my bill</t>
  </si>
  <si>
    <t>Debra</t>
  </si>
  <si>
    <t>Slocum</t>
  </si>
  <si>
    <t>coghlin2013@gmail.com</t>
  </si>
  <si>
    <t>7373465429</t>
  </si>
  <si>
    <t>19 Sep 2025 - 19:44:40 CDT</t>
  </si>
  <si>
    <t>10119</t>
  </si>
  <si>
    <t>Voice response not always best way to communicate and I prefer live person</t>
  </si>
  <si>
    <t>I can’t recall</t>
  </si>
  <si>
    <t>Bauguess</t>
  </si>
  <si>
    <t>lisa.bauguess@gmail.com</t>
  </si>
  <si>
    <t>4109802840</t>
  </si>
  <si>
    <t>20 Sep 2025 - 10:31:00 CDT</t>
  </si>
  <si>
    <t>9714</t>
  </si>
  <si>
    <t>Information</t>
  </si>
  <si>
    <t>Excellent info</t>
  </si>
  <si>
    <t>Gregorio</t>
  </si>
  <si>
    <t>Green</t>
  </si>
  <si>
    <t>stingergregg@gmail.com</t>
  </si>
  <si>
    <t>5127620346</t>
  </si>
  <si>
    <t>21 Sep 2025 - 10:33:46 CDT</t>
  </si>
  <si>
    <t>4929</t>
  </si>
  <si>
    <t>Billing date</t>
  </si>
  <si>
    <t>Wondering why the bill due date always changes</t>
  </si>
  <si>
    <t>I remember it being difficult to determine exactly where I wanted to connect</t>
  </si>
  <si>
    <t>It's either too much information or too little</t>
  </si>
  <si>
    <t>Poor system</t>
  </si>
  <si>
    <t>Always a wait</t>
  </si>
  <si>
    <t>I do not remember</t>
  </si>
  <si>
    <t>Any news or updates, but not on repeat please</t>
  </si>
  <si>
    <t>Spoke more clearly, not had kids and animals making noise in the background</t>
  </si>
  <si>
    <t>Set my billing date on a specific day each month</t>
  </si>
  <si>
    <t>Amy</t>
  </si>
  <si>
    <t>Pannell</t>
  </si>
  <si>
    <t>amylynnpannell@gmail.com</t>
  </si>
  <si>
    <t>5126368406</t>
  </si>
  <si>
    <t>21 Sep 2025 - 14:59:47 CDT</t>
  </si>
  <si>
    <t>10618</t>
  </si>
  <si>
    <t>Series 1</t>
  </si>
  <si>
    <t>Other</t>
  </si>
  <si>
    <t>Don't know/no answer</t>
  </si>
  <si>
    <t>Solid Waste</t>
  </si>
  <si>
    <t>Water</t>
  </si>
  <si>
    <t>Electricity</t>
  </si>
  <si>
    <t>UTILITY CALLING ABOUT</t>
  </si>
  <si>
    <t>Q4_2024</t>
  </si>
  <si>
    <t>Q1_2025</t>
  </si>
  <si>
    <t>Q2_2025</t>
  </si>
  <si>
    <t>Q3_2025</t>
  </si>
  <si>
    <t>Reasonableness of hold time*</t>
  </si>
  <si>
    <t>Overall communication</t>
  </si>
  <si>
    <t>Provided necessary information</t>
  </si>
  <si>
    <t>Appropriateness of wait time*</t>
  </si>
  <si>
    <t>Usefulness of wait time message</t>
  </si>
  <si>
    <t xml:space="preserve">IVR RATINGS </t>
  </si>
  <si>
    <t>Q3_2024</t>
  </si>
  <si>
    <t>Spoke Clearly/Easy to Understand</t>
  </si>
  <si>
    <t>Courteous</t>
  </si>
  <si>
    <t>Eagerness to Help You</t>
  </si>
  <si>
    <t>Perception of CSR</t>
  </si>
  <si>
    <t>IVR Ratings</t>
  </si>
  <si>
    <t>Utility Calling About</t>
  </si>
  <si>
    <t>Acknowledged Issue or Concern</t>
  </si>
  <si>
    <t>Ensured Understanding of Issue or Process</t>
  </si>
  <si>
    <t>Valued as a Customer</t>
  </si>
  <si>
    <t>Satisfied with Call Outcome</t>
  </si>
  <si>
    <t>Offered Appropriate Program and Plans</t>
  </si>
  <si>
    <t>Reportiing Period</t>
  </si>
  <si>
    <t>Q2_2024</t>
  </si>
  <si>
    <t>Q1_2024</t>
  </si>
  <si>
    <t>Reporting Period</t>
  </si>
  <si>
    <t>Metric</t>
  </si>
  <si>
    <t>Selected_Period</t>
  </si>
  <si>
    <t>PERCEPTIONS OF CSR</t>
  </si>
  <si>
    <t>AUSTIN ENERGY COMBINED CONTACT CENTER CUSTOMER SATISFACTION</t>
  </si>
  <si>
    <t>OVERALL SATISFACTION RATING</t>
  </si>
  <si>
    <t>Overall Satisfaction</t>
  </si>
  <si>
    <t>% Placed on Hold</t>
  </si>
  <si>
    <t>Comments from dissatisfied customer callbacks</t>
  </si>
  <si>
    <t>Time on Hold</t>
  </si>
  <si>
    <t>Less than 2 minutes</t>
  </si>
  <si>
    <t>Between 2 and 5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</si>
</sst>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quot;-&quot;mmm&quot;-&quot;yyyy"/>
  </numFmts>
  <fonts count="18" x14ac:knownFonts="1">
    <font>
      <sz val="10"/>
      <color rgb="FF000000"/>
      <name val="Arial"/>
      <scheme val="minor"/>
    </font>
    <font>
      <sz val="10"/>
      <color theme="1"/>
      <name val="Proxima Nova"/>
      <family val="2"/>
    </font>
    <font>
      <sz val="25"/>
      <color theme="1"/>
      <name val="Proxima Nova"/>
      <family val="2"/>
    </font>
    <font>
      <sz val="33"/>
      <color rgb="FFFFFAF0"/>
      <name val="Impact"/>
      <family val="2"/>
    </font>
    <font>
      <sz val="10"/>
      <name val="Arial"/>
      <family val="2"/>
    </font>
    <font>
      <sz val="10"/>
      <color theme="1"/>
      <name val="Proxima Nova"/>
      <family val="2"/>
    </font>
    <font>
      <b/>
      <sz val="15"/>
      <color theme="1"/>
      <name val="Proxima Nova"/>
      <family val="2"/>
    </font>
    <font>
      <b/>
      <sz val="15"/>
      <color rgb="FF000000"/>
      <name val="Proxima Nova"/>
      <family val="2"/>
    </font>
    <font>
      <b/>
      <sz val="24"/>
      <color theme="1"/>
      <name val="Proxima Nova"/>
      <family val="2"/>
    </font>
    <font>
      <b/>
      <sz val="12"/>
      <color theme="1"/>
      <name val="Proxima Nova"/>
      <family val="2"/>
    </font>
    <font>
      <sz val="10"/>
      <color theme="1"/>
      <name val="Arial"/>
      <family val="2"/>
      <scheme val="minor"/>
    </font>
    <font>
      <b/>
      <sz val="11"/>
      <color theme="1"/>
      <name val="Proxima Nova"/>
      <family val="2"/>
    </font>
    <font>
      <b/>
      <sz val="10"/>
      <color theme="1"/>
      <name val="Proxima Nova"/>
      <family val="2"/>
    </font>
    <font>
      <b/>
      <sz val="10"/>
      <color theme="1"/>
      <name val="Arial"/>
      <family val="2"/>
      <scheme val="minor"/>
    </font>
    <font>
      <sz val="10"/>
      <color rgb="FF000000"/>
      <name val="Arial"/>
      <family val="2"/>
      <scheme val="minor"/>
    </font>
    <font>
      <sz val="11"/>
      <color rgb="FF000000"/>
      <name val="Calibri"/>
      <family val="2"/>
    </font>
    <font>
      <sz val="10"/>
      <color rgb="FF000000"/>
      <name val="Arial"/>
      <family val="2"/>
      <scheme val="minor"/>
    </font>
    <font>
      <b/>
      <sz val="10"/>
      <name val="Arial"/>
      <family val="2"/>
    </font>
  </fonts>
  <fills count="5">
    <fill>
      <patternFill patternType="none"/>
    </fill>
    <fill>
      <patternFill patternType="gray125"/>
    </fill>
    <fill>
      <patternFill patternType="solid">
        <fgColor rgb="FFDED0B6"/>
        <bgColor rgb="FFDED0B6"/>
      </patternFill>
    </fill>
    <fill>
      <patternFill patternType="solid">
        <fgColor rgb="FFBBAB8C"/>
        <bgColor rgb="FFBBAB8C"/>
      </patternFill>
    </fill>
    <fill>
      <patternFill patternType="solid">
        <fgColor rgb="FFEFEFEF"/>
        <bgColor rgb="FFEFEFEF"/>
      </patternFill>
    </fill>
  </fills>
  <borders count="32">
    <border>
      <left/>
      <right/>
      <top/>
      <bottom/>
      <diagonal/>
    </border>
    <border>
      <left style="hair">
        <color rgb="FFBBAB8C"/>
      </left>
      <right/>
      <top style="hair">
        <color rgb="FFBBAB8C"/>
      </top>
      <bottom/>
      <diagonal/>
    </border>
    <border>
      <left/>
      <right/>
      <top style="hair">
        <color rgb="FFBBAB8C"/>
      </top>
      <bottom/>
      <diagonal/>
    </border>
    <border>
      <left/>
      <right style="hair">
        <color rgb="FFBBAB8C"/>
      </right>
      <top style="hair">
        <color rgb="FFBBAB8C"/>
      </top>
      <bottom/>
      <diagonal/>
    </border>
    <border>
      <left style="hair">
        <color rgb="FFBBAB8C"/>
      </left>
      <right/>
      <top/>
      <bottom/>
      <diagonal/>
    </border>
    <border>
      <left/>
      <right style="hair">
        <color rgb="FFBBAB8C"/>
      </right>
      <top/>
      <bottom/>
      <diagonal/>
    </border>
    <border>
      <left style="hair">
        <color rgb="FFBBAB8C"/>
      </left>
      <right/>
      <top style="hair">
        <color rgb="FFBBAB8C"/>
      </top>
      <bottom style="hair">
        <color rgb="FFBBAB8C"/>
      </bottom>
      <diagonal/>
    </border>
    <border>
      <left/>
      <right style="hair">
        <color rgb="FFBBAB8C"/>
      </right>
      <top style="hair">
        <color rgb="FFBBAB8C"/>
      </top>
      <bottom style="hair">
        <color rgb="FFBBAB8C"/>
      </bottom>
      <diagonal/>
    </border>
    <border>
      <left style="thin">
        <color rgb="FFBBAB8C"/>
      </left>
      <right/>
      <top style="thin">
        <color rgb="FFBBAB8C"/>
      </top>
      <bottom/>
      <diagonal/>
    </border>
    <border>
      <left/>
      <right/>
      <top style="thin">
        <color rgb="FFBBAB8C"/>
      </top>
      <bottom/>
      <diagonal/>
    </border>
    <border>
      <left/>
      <right style="thin">
        <color rgb="FFBBAB8C"/>
      </right>
      <top style="thin">
        <color rgb="FFBBAB8C"/>
      </top>
      <bottom/>
      <diagonal/>
    </border>
    <border>
      <left style="thin">
        <color rgb="FFBBAB8C"/>
      </left>
      <right/>
      <top/>
      <bottom/>
      <diagonal/>
    </border>
    <border>
      <left/>
      <right style="thin">
        <color rgb="FFBBAB8C"/>
      </right>
      <top/>
      <bottom/>
      <diagonal/>
    </border>
    <border>
      <left style="thin">
        <color rgb="FFBBAB8C"/>
      </left>
      <right/>
      <top/>
      <bottom style="thin">
        <color rgb="FFBBAB8C"/>
      </bottom>
      <diagonal/>
    </border>
    <border>
      <left/>
      <right/>
      <top/>
      <bottom style="thin">
        <color rgb="FFBBAB8C"/>
      </bottom>
      <diagonal/>
    </border>
    <border>
      <left/>
      <right style="thin">
        <color rgb="FFBBAB8C"/>
      </right>
      <top/>
      <bottom style="thin">
        <color rgb="FFBBAB8C"/>
      </bottom>
      <diagonal/>
    </border>
    <border>
      <left style="thin">
        <color rgb="FFDED0B6"/>
      </left>
      <right/>
      <top style="thin">
        <color rgb="FFDED0B6"/>
      </top>
      <bottom style="thin">
        <color rgb="FFDED0B6"/>
      </bottom>
      <diagonal/>
    </border>
    <border>
      <left/>
      <right/>
      <top style="thin">
        <color rgb="FFDED0B6"/>
      </top>
      <bottom style="thin">
        <color rgb="FFDED0B6"/>
      </bottom>
      <diagonal/>
    </border>
    <border>
      <left/>
      <right style="thin">
        <color rgb="FFDED0B6"/>
      </right>
      <top style="thin">
        <color rgb="FFDED0B6"/>
      </top>
      <bottom style="thin">
        <color rgb="FFDED0B6"/>
      </bottom>
      <diagonal/>
    </border>
    <border>
      <left style="thin">
        <color rgb="FFDED0B6"/>
      </left>
      <right style="thin">
        <color rgb="FFDED0B6"/>
      </right>
      <top style="thin">
        <color rgb="FFDED0B6"/>
      </top>
      <bottom style="thin">
        <color rgb="FFDED0B6"/>
      </bottom>
      <diagonal/>
    </border>
    <border>
      <left style="hair">
        <color rgb="FFBBAB8C"/>
      </left>
      <right/>
      <top/>
      <bottom style="hair">
        <color rgb="FFBBAB8C"/>
      </bottom>
      <diagonal/>
    </border>
    <border>
      <left/>
      <right/>
      <top/>
      <bottom style="hair">
        <color rgb="FFBBAB8C"/>
      </bottom>
      <diagonal/>
    </border>
    <border>
      <left/>
      <right style="hair">
        <color rgb="FFBBAB8C"/>
      </right>
      <top/>
      <bottom style="hair">
        <color rgb="FFBBAB8C"/>
      </bottom>
      <diagonal/>
    </border>
    <border>
      <left style="thin">
        <color rgb="FFDED0B6"/>
      </left>
      <right style="thin">
        <color rgb="FFDED0B6"/>
      </right>
      <top style="thin">
        <color rgb="FFDED0B6"/>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DED0B6"/>
      </left>
      <right/>
      <top style="thin">
        <color rgb="FFDED0B6"/>
      </top>
      <bottom/>
      <diagonal/>
    </border>
    <border>
      <left style="thin">
        <color indexed="64"/>
      </left>
      <right style="thin">
        <color indexed="64"/>
      </right>
      <top style="thin">
        <color indexed="64"/>
      </top>
      <bottom style="thin">
        <color indexed="64"/>
      </bottom>
      <diagonal/>
    </border>
    <border>
      <left style="thin">
        <color rgb="FFCCCCCC"/>
      </left>
      <right/>
      <top/>
      <bottom/>
      <diagonal/>
    </border>
    <border>
      <left style="thin">
        <color rgb="FFDED0B6"/>
      </left>
      <right/>
      <top/>
      <bottom/>
      <diagonal/>
    </border>
    <border>
      <left style="thin">
        <color rgb="FFDED0B6"/>
      </left>
      <right style="thin">
        <color rgb="FFDED0B6"/>
      </right>
      <top/>
      <bottom/>
      <diagonal/>
    </border>
  </borders>
  <cellStyleXfs count="2">
    <xf numFmtId="0" fontId="0" fillId="0" borderId="0"/>
    <xf numFmtId="9" fontId="16" fillId="0" borderId="0" applyFont="0" applyFill="0" applyBorder="0" applyAlignment="0" applyProtection="0"/>
  </cellStyleXfs>
  <cellXfs count="70">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5" fillId="2" borderId="0" xfId="0" applyFont="1" applyFill="1" applyAlignment="1">
      <alignment horizontal="center" vertical="center"/>
    </xf>
    <xf numFmtId="0" fontId="2" fillId="3" borderId="4" xfId="0" applyFont="1" applyFill="1" applyBorder="1" applyAlignment="1">
      <alignment horizontal="center" vertical="center"/>
    </xf>
    <xf numFmtId="0" fontId="1" fillId="2" borderId="4" xfId="0" applyFont="1" applyFill="1" applyBorder="1" applyAlignment="1">
      <alignment horizontal="center" vertical="center"/>
    </xf>
    <xf numFmtId="0" fontId="2" fillId="2" borderId="0" xfId="0" applyFont="1" applyFill="1" applyAlignment="1">
      <alignment horizontal="center" vertical="center"/>
    </xf>
    <xf numFmtId="0" fontId="1" fillId="2" borderId="5" xfId="0" applyFont="1" applyFill="1" applyBorder="1" applyAlignment="1">
      <alignment horizontal="center" vertical="center"/>
    </xf>
    <xf numFmtId="0" fontId="5" fillId="2" borderId="5" xfId="0" applyFont="1" applyFill="1" applyBorder="1" applyAlignment="1">
      <alignment horizontal="center" vertical="center"/>
    </xf>
    <xf numFmtId="0" fontId="7" fillId="3" borderId="0" xfId="0" applyFont="1" applyFill="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0" borderId="0" xfId="0" applyFont="1" applyAlignment="1">
      <alignment horizontal="center" vertical="center"/>
    </xf>
    <xf numFmtId="0" fontId="1" fillId="2" borderId="23" xfId="0" applyFont="1" applyFill="1" applyBorder="1" applyAlignment="1">
      <alignment horizontal="center" vertical="center"/>
    </xf>
    <xf numFmtId="164" fontId="1" fillId="0" borderId="24" xfId="0" applyNumberFormat="1" applyFont="1" applyBorder="1" applyAlignment="1">
      <alignment horizontal="center" vertical="center"/>
    </xf>
    <xf numFmtId="0" fontId="1" fillId="0" borderId="24" xfId="0" applyFont="1" applyBorder="1" applyAlignment="1">
      <alignment horizontal="center" vertical="center"/>
    </xf>
    <xf numFmtId="0" fontId="1" fillId="4" borderId="24" xfId="0" applyFont="1" applyFill="1" applyBorder="1" applyAlignment="1">
      <alignment horizontal="center" vertical="center"/>
    </xf>
    <xf numFmtId="0" fontId="1" fillId="0" borderId="24" xfId="0" applyFont="1" applyBorder="1" applyAlignment="1">
      <alignment horizontal="left" vertical="center"/>
    </xf>
    <xf numFmtId="0" fontId="10" fillId="0" borderId="24" xfId="0" applyFont="1" applyBorder="1"/>
    <xf numFmtId="164" fontId="10" fillId="0" borderId="24" xfId="0" applyNumberFormat="1" applyFont="1" applyBorder="1"/>
    <xf numFmtId="0" fontId="12" fillId="2" borderId="0" xfId="0" applyFont="1" applyFill="1" applyAlignment="1">
      <alignment horizontal="center" vertical="center"/>
    </xf>
    <xf numFmtId="0" fontId="10" fillId="0" borderId="0" xfId="0" applyFont="1" applyAlignment="1">
      <alignment horizontal="center" vertical="center"/>
    </xf>
    <xf numFmtId="0" fontId="10" fillId="0" borderId="24" xfId="0" applyFont="1" applyBorder="1" applyAlignment="1">
      <alignment horizontal="center" vertical="center"/>
    </xf>
    <xf numFmtId="0" fontId="9" fillId="3" borderId="27"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16" xfId="0" applyFont="1" applyFill="1" applyBorder="1" applyAlignment="1">
      <alignment horizontal="center" vertical="center"/>
    </xf>
    <xf numFmtId="1" fontId="0" fillId="0" borderId="0" xfId="0" applyNumberFormat="1"/>
    <xf numFmtId="10" fontId="0" fillId="0" borderId="0" xfId="0" applyNumberFormat="1"/>
    <xf numFmtId="9" fontId="0" fillId="0" borderId="0" xfId="0" applyNumberFormat="1"/>
    <xf numFmtId="0" fontId="14" fillId="0" borderId="0" xfId="0" applyFont="1"/>
    <xf numFmtId="0" fontId="15" fillId="0" borderId="0" xfId="0" applyFont="1"/>
    <xf numFmtId="9" fontId="15" fillId="0" borderId="0" xfId="0" applyNumberFormat="1" applyFont="1"/>
    <xf numFmtId="0" fontId="1" fillId="0" borderId="29" xfId="0" applyFont="1" applyBorder="1" applyAlignment="1">
      <alignment horizontal="center" vertical="center"/>
    </xf>
    <xf numFmtId="0" fontId="1" fillId="0" borderId="25" xfId="0" applyFont="1" applyBorder="1" applyAlignment="1">
      <alignment horizontal="center" vertical="center"/>
    </xf>
    <xf numFmtId="0" fontId="1" fillId="0" borderId="28" xfId="0" applyFont="1" applyBorder="1" applyAlignment="1">
      <alignment horizontal="center" vertical="center"/>
    </xf>
    <xf numFmtId="9" fontId="0" fillId="0" borderId="0" xfId="1" applyFont="1"/>
    <xf numFmtId="0" fontId="1" fillId="2" borderId="30" xfId="0" applyFont="1" applyFill="1" applyBorder="1" applyAlignment="1">
      <alignment horizontal="center" vertical="center"/>
    </xf>
    <xf numFmtId="0" fontId="9" fillId="3" borderId="0" xfId="0" applyFont="1" applyFill="1" applyAlignment="1">
      <alignment horizontal="center" vertical="center"/>
    </xf>
    <xf numFmtId="0" fontId="12" fillId="2" borderId="23" xfId="0" applyFont="1" applyFill="1" applyBorder="1" applyAlignment="1">
      <alignment horizontal="center" vertical="center"/>
    </xf>
    <xf numFmtId="0" fontId="12" fillId="2" borderId="31" xfId="0" applyFont="1" applyFill="1" applyBorder="1" applyAlignment="1">
      <alignment horizontal="center" vertical="center"/>
    </xf>
    <xf numFmtId="0" fontId="8" fillId="2" borderId="11" xfId="0" applyFont="1" applyFill="1" applyBorder="1" applyAlignment="1">
      <alignment horizontal="center" vertical="center"/>
    </xf>
    <xf numFmtId="0" fontId="0" fillId="0" borderId="0" xfId="0"/>
    <xf numFmtId="0" fontId="4" fillId="0" borderId="12" xfId="0" applyFont="1" applyBorder="1"/>
    <xf numFmtId="0" fontId="4" fillId="0" borderId="11" xfId="0" applyFont="1" applyBorder="1"/>
    <xf numFmtId="0" fontId="4" fillId="0" borderId="13" xfId="0" applyFont="1" applyBorder="1"/>
    <xf numFmtId="0" fontId="4" fillId="0" borderId="14" xfId="0" applyFont="1" applyBorder="1"/>
    <xf numFmtId="0" fontId="4" fillId="0" borderId="15" xfId="0" applyFont="1" applyBorder="1"/>
    <xf numFmtId="0" fontId="3" fillId="3" borderId="2" xfId="0" applyFont="1" applyFill="1" applyBorder="1" applyAlignment="1">
      <alignment horizontal="left" vertical="center"/>
    </xf>
    <xf numFmtId="0" fontId="4" fillId="0" borderId="2" xfId="0" applyFont="1" applyBorder="1"/>
    <xf numFmtId="0" fontId="4" fillId="0" borderId="3" xfId="0" applyFont="1" applyBorder="1"/>
    <xf numFmtId="0" fontId="4" fillId="0" borderId="5" xfId="0" applyFont="1" applyBorder="1"/>
    <xf numFmtId="0" fontId="6" fillId="3" borderId="6" xfId="0" applyFont="1" applyFill="1" applyBorder="1" applyAlignment="1">
      <alignment horizontal="center" vertical="center"/>
    </xf>
    <xf numFmtId="0" fontId="4" fillId="0" borderId="7" xfId="0" applyFont="1" applyBorder="1"/>
    <xf numFmtId="0" fontId="6" fillId="2" borderId="6" xfId="0" applyFont="1" applyFill="1" applyBorder="1" applyAlignment="1">
      <alignment horizontal="center" vertical="center"/>
    </xf>
    <xf numFmtId="0" fontId="7" fillId="3" borderId="0" xfId="0" applyFont="1" applyFill="1" applyAlignment="1">
      <alignment horizontal="center" vertical="center"/>
    </xf>
    <xf numFmtId="0" fontId="6" fillId="3" borderId="8" xfId="0" applyFont="1" applyFill="1" applyBorder="1" applyAlignment="1">
      <alignment horizontal="center" vertical="center"/>
    </xf>
    <xf numFmtId="0" fontId="17" fillId="0" borderId="9" xfId="0" applyFont="1" applyBorder="1"/>
    <xf numFmtId="0" fontId="17" fillId="0" borderId="10" xfId="0" applyFont="1" applyBorder="1"/>
    <xf numFmtId="0" fontId="6" fillId="3" borderId="0" xfId="0" applyFont="1" applyFill="1" applyAlignment="1">
      <alignment horizontal="center" vertical="center"/>
    </xf>
    <xf numFmtId="0" fontId="0" fillId="0" borderId="0" xfId="0" applyAlignment="1">
      <alignment horizontal="center"/>
    </xf>
    <xf numFmtId="0" fontId="9" fillId="3" borderId="0" xfId="0" applyFont="1" applyFill="1" applyAlignment="1">
      <alignment horizontal="center" vertical="center"/>
    </xf>
    <xf numFmtId="0" fontId="0" fillId="0" borderId="0" xfId="0" applyAlignment="1">
      <alignment horizontal="center" vertical="center"/>
    </xf>
    <xf numFmtId="0" fontId="1" fillId="3" borderId="16" xfId="0" applyFont="1" applyFill="1" applyBorder="1" applyAlignment="1">
      <alignment horizontal="center" vertical="center"/>
    </xf>
    <xf numFmtId="0" fontId="4" fillId="0" borderId="17" xfId="0" applyFont="1" applyBorder="1"/>
    <xf numFmtId="0" fontId="4" fillId="0" borderId="18" xfId="0" applyFont="1" applyBorder="1"/>
    <xf numFmtId="0" fontId="11" fillId="3" borderId="0" xfId="0" applyFont="1" applyFill="1" applyAlignment="1">
      <alignment horizontal="center" vertical="center"/>
    </xf>
    <xf numFmtId="0" fontId="13" fillId="3" borderId="25" xfId="0" applyFont="1" applyFill="1" applyBorder="1" applyAlignment="1">
      <alignment horizontal="center" vertical="center"/>
    </xf>
    <xf numFmtId="0" fontId="4" fillId="0" borderId="26" xfId="0" applyFont="1" applyBorder="1"/>
  </cellXfs>
  <cellStyles count="2">
    <cellStyle name="Normal" xfId="0" builtinId="0"/>
    <cellStyle name="Percent" xfId="1" builtinId="5"/>
  </cellStyles>
  <dxfs count="3">
    <dxf>
      <fill>
        <patternFill patternType="solid">
          <fgColor rgb="FFE2DBCE"/>
          <bgColor rgb="FFE2DBCE"/>
        </patternFill>
      </fill>
    </dxf>
    <dxf>
      <fill>
        <patternFill patternType="solid">
          <fgColor rgb="FFFFFFFF"/>
          <bgColor rgb="FFFFFFFF"/>
        </patternFill>
      </fill>
    </dxf>
    <dxf>
      <fill>
        <patternFill patternType="solid">
          <fgColor rgb="FFBBAB8C"/>
          <bgColor rgb="FFBBAB8C"/>
        </patternFill>
      </fill>
    </dxf>
  </dxfs>
  <tableStyles count="1">
    <tableStyle name="Dashboard-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9.3299308932288105E-2"/>
          <c:y val="0.16107916801571973"/>
          <c:w val="0.56332369845969177"/>
          <c:h val="0.71308711719456508"/>
        </c:manualLayout>
      </c:layout>
      <c:doughnutChart>
        <c:varyColors val="1"/>
        <c:ser>
          <c:idx val="0"/>
          <c:order val="0"/>
          <c:tx>
            <c:strRef>
              <c:f>'Chart Data'!$B$4</c:f>
              <c:strCache>
                <c:ptCount val="1"/>
                <c:pt idx="0">
                  <c:v>Series 1</c:v>
                </c:pt>
              </c:strCache>
            </c:strRef>
          </c:tx>
          <c:dPt>
            <c:idx val="0"/>
            <c:bubble3D val="0"/>
            <c:spPr>
              <a:solidFill>
                <a:srgbClr val="5891AD"/>
              </a:solidFill>
            </c:spPr>
            <c:extLst>
              <c:ext xmlns:c16="http://schemas.microsoft.com/office/drawing/2014/chart" uri="{C3380CC4-5D6E-409C-BE32-E72D297353CC}">
                <c16:uniqueId val="{00000001-D8C0-4533-9618-846508AD6055}"/>
              </c:ext>
            </c:extLst>
          </c:dPt>
          <c:dPt>
            <c:idx val="1"/>
            <c:bubble3D val="0"/>
            <c:spPr>
              <a:solidFill>
                <a:srgbClr val="A98D71"/>
              </a:solidFill>
            </c:spPr>
            <c:extLst>
              <c:ext xmlns:c16="http://schemas.microsoft.com/office/drawing/2014/chart" uri="{C3380CC4-5D6E-409C-BE32-E72D297353CC}">
                <c16:uniqueId val="{00000003-D8C0-4533-9618-846508AD6055}"/>
              </c:ext>
            </c:extLst>
          </c:dPt>
          <c:dPt>
            <c:idx val="2"/>
            <c:bubble3D val="0"/>
            <c:spPr>
              <a:solidFill>
                <a:srgbClr val="BBAB8C"/>
              </a:solidFill>
            </c:spPr>
            <c:extLst>
              <c:ext xmlns:c16="http://schemas.microsoft.com/office/drawing/2014/chart" uri="{C3380CC4-5D6E-409C-BE32-E72D297353CC}">
                <c16:uniqueId val="{00000005-D8C0-4533-9618-846508AD6055}"/>
              </c:ext>
            </c:extLst>
          </c:dPt>
          <c:dPt>
            <c:idx val="3"/>
            <c:bubble3D val="0"/>
            <c:spPr>
              <a:solidFill>
                <a:srgbClr val="1C7685"/>
              </a:solidFill>
            </c:spPr>
            <c:extLst>
              <c:ext xmlns:c16="http://schemas.microsoft.com/office/drawing/2014/chart" uri="{C3380CC4-5D6E-409C-BE32-E72D297353CC}">
                <c16:uniqueId val="{00000007-D8C0-4533-9618-846508AD6055}"/>
              </c:ext>
            </c:extLst>
          </c:dPt>
          <c:dPt>
            <c:idx val="4"/>
            <c:bubble3D val="0"/>
            <c:spPr>
              <a:solidFill>
                <a:schemeClr val="accent2"/>
              </a:solidFill>
            </c:spPr>
            <c:extLst>
              <c:ext xmlns:c16="http://schemas.microsoft.com/office/drawing/2014/chart" uri="{C3380CC4-5D6E-409C-BE32-E72D297353CC}">
                <c16:uniqueId val="{00000009-D8C0-4533-9618-846508AD6055}"/>
              </c:ext>
            </c:extLst>
          </c:dPt>
          <c:dPt>
            <c:idx val="5"/>
            <c:bubble3D val="0"/>
            <c:spPr>
              <a:solidFill>
                <a:srgbClr val="FDF7E4"/>
              </a:solidFill>
            </c:spPr>
            <c:extLst>
              <c:ext xmlns:c16="http://schemas.microsoft.com/office/drawing/2014/chart" uri="{C3380CC4-5D6E-409C-BE32-E72D297353CC}">
                <c16:uniqueId val="{0000000B-D8C0-4533-9618-846508AD6055}"/>
              </c:ext>
            </c:extLst>
          </c:dPt>
          <c:dPt>
            <c:idx val="6"/>
            <c:bubble3D val="0"/>
            <c:extLst>
              <c:ext xmlns:c16="http://schemas.microsoft.com/office/drawing/2014/chart" uri="{C3380CC4-5D6E-409C-BE32-E72D297353CC}">
                <c16:uniqueId val="{0000000C-D8C0-4533-9618-846508AD6055}"/>
              </c:ext>
            </c:extLst>
          </c:dPt>
          <c:dPt>
            <c:idx val="7"/>
            <c:bubble3D val="0"/>
            <c:extLst>
              <c:ext xmlns:c16="http://schemas.microsoft.com/office/drawing/2014/chart" uri="{C3380CC4-5D6E-409C-BE32-E72D297353CC}">
                <c16:uniqueId val="{0000000D-D8C0-4533-9618-846508AD6055}"/>
              </c:ext>
            </c:extLst>
          </c:dPt>
          <c:dPt>
            <c:idx val="8"/>
            <c:bubble3D val="0"/>
            <c:extLst>
              <c:ext xmlns:c16="http://schemas.microsoft.com/office/drawing/2014/chart" uri="{C3380CC4-5D6E-409C-BE32-E72D297353CC}">
                <c16:uniqueId val="{0000000E-D8C0-4533-9618-846508AD6055}"/>
              </c:ext>
            </c:extLst>
          </c:dPt>
          <c:dPt>
            <c:idx val="9"/>
            <c:bubble3D val="0"/>
            <c:extLst>
              <c:ext xmlns:c16="http://schemas.microsoft.com/office/drawing/2014/chart" uri="{C3380CC4-5D6E-409C-BE32-E72D297353CC}">
                <c16:uniqueId val="{0000000F-D8C0-4533-9618-846508AD6055}"/>
              </c:ext>
            </c:extLst>
          </c:dPt>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'Chart Data'!$A$5:$A$9</c:f>
              <c:strCache>
                <c:ptCount val="5"/>
                <c:pt idx="0">
                  <c:v>Electricity</c:v>
                </c:pt>
                <c:pt idx="1">
                  <c:v>Water</c:v>
                </c:pt>
                <c:pt idx="2">
                  <c:v>Solid Waste</c:v>
                </c:pt>
                <c:pt idx="3">
                  <c:v>Don't know/no answer</c:v>
                </c:pt>
                <c:pt idx="4">
                  <c:v>Other</c:v>
                </c:pt>
              </c:strCache>
            </c:strRef>
          </c:cat>
          <c:val>
            <c:numRef>
              <c:f>'Chart Data'!$B$5:$B$9</c:f>
              <c:numCache>
                <c:formatCode>0%</c:formatCode>
                <c:ptCount val="5"/>
                <c:pt idx="0">
                  <c:v>0.57281553398058249</c:v>
                </c:pt>
                <c:pt idx="1">
                  <c:v>0.1359223300970874</c:v>
                </c:pt>
                <c:pt idx="2">
                  <c:v>8.7378640776699032E-2</c:v>
                </c:pt>
                <c:pt idx="3">
                  <c:v>9.7087378640776691E-3</c:v>
                </c:pt>
                <c:pt idx="4">
                  <c:v>0.1941747572815534</c:v>
                </c:pt>
              </c:numCache>
            </c:numRef>
          </c:val>
          <c:extLst>
            <c:ext xmlns:c16="http://schemas.microsoft.com/office/drawing/2014/chart" uri="{C3380CC4-5D6E-409C-BE32-E72D297353CC}">
              <c16:uniqueId val="{00000010-D8C0-4533-9618-846508AD6055}"/>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1200" b="1" i="1">
              <a:solidFill>
                <a:srgbClr val="000000"/>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32238301927448099"/>
          <c:y val="0.16335521039678419"/>
          <c:w val="0.6135151560687172"/>
          <c:h val="0.72074593592748837"/>
        </c:manualLayout>
      </c:layout>
      <c:barChart>
        <c:barDir val="bar"/>
        <c:grouping val="clustered"/>
        <c:varyColors val="0"/>
        <c:ser>
          <c:idx val="0"/>
          <c:order val="0"/>
          <c:invertIfNegative val="0"/>
          <c:dPt>
            <c:idx val="0"/>
            <c:invertIfNegative val="0"/>
            <c:bubble3D val="0"/>
            <c:spPr>
              <a:solidFill>
                <a:srgbClr val="BBAB8C"/>
              </a:solidFill>
            </c:spPr>
            <c:extLst>
              <c:ext xmlns:c16="http://schemas.microsoft.com/office/drawing/2014/chart" uri="{C3380CC4-5D6E-409C-BE32-E72D297353CC}">
                <c16:uniqueId val="{00000001-CE80-4D75-8972-5822BE6EB6B8}"/>
              </c:ext>
            </c:extLst>
          </c:dPt>
          <c:dPt>
            <c:idx val="1"/>
            <c:invertIfNegative val="0"/>
            <c:bubble3D val="0"/>
            <c:spPr>
              <a:solidFill>
                <a:srgbClr val="004561"/>
              </a:solidFill>
            </c:spPr>
            <c:extLst>
              <c:ext xmlns:c16="http://schemas.microsoft.com/office/drawing/2014/chart" uri="{C3380CC4-5D6E-409C-BE32-E72D297353CC}">
                <c16:uniqueId val="{00000003-CE80-4D75-8972-5822BE6EB6B8}"/>
              </c:ext>
            </c:extLst>
          </c:dPt>
          <c:dPt>
            <c:idx val="2"/>
            <c:invertIfNegative val="0"/>
            <c:bubble3D val="0"/>
            <c:spPr>
              <a:solidFill>
                <a:srgbClr val="FF6F31"/>
              </a:solidFill>
            </c:spPr>
            <c:extLst>
              <c:ext xmlns:c16="http://schemas.microsoft.com/office/drawing/2014/chart" uri="{C3380CC4-5D6E-409C-BE32-E72D297353CC}">
                <c16:uniqueId val="{00000005-CE80-4D75-8972-5822BE6EB6B8}"/>
              </c:ext>
            </c:extLst>
          </c:dPt>
          <c:dPt>
            <c:idx val="3"/>
            <c:invertIfNegative val="0"/>
            <c:bubble3D val="0"/>
            <c:spPr>
              <a:solidFill>
                <a:srgbClr val="1C7685"/>
              </a:solidFill>
            </c:spPr>
            <c:extLst>
              <c:ext xmlns:c16="http://schemas.microsoft.com/office/drawing/2014/chart" uri="{C3380CC4-5D6E-409C-BE32-E72D297353CC}">
                <c16:uniqueId val="{00000007-CE80-4D75-8972-5822BE6EB6B8}"/>
              </c:ext>
            </c:extLst>
          </c:dPt>
          <c:dPt>
            <c:idx val="4"/>
            <c:invertIfNegative val="0"/>
            <c:bubble3D val="0"/>
            <c:spPr>
              <a:solidFill>
                <a:srgbClr val="0F45A8"/>
              </a:solidFill>
            </c:spPr>
            <c:extLst>
              <c:ext xmlns:c16="http://schemas.microsoft.com/office/drawing/2014/chart" uri="{C3380CC4-5D6E-409C-BE32-E72D297353CC}">
                <c16:uniqueId val="{00000009-CE80-4D75-8972-5822BE6EB6B8}"/>
              </c:ext>
            </c:extLst>
          </c:dPt>
          <c:dLbls>
            <c:spPr>
              <a:noFill/>
              <a:ln>
                <a:noFill/>
              </a:ln>
              <a:effectLst/>
            </c:spPr>
            <c:txPr>
              <a:bodyPr wrap="square" lIns="38100" tIns="19050" rIns="38100" bIns="19050" anchor="ctr">
                <a:spAutoFit/>
              </a:bodyPr>
              <a:lstStyle/>
              <a:p>
                <a:pPr>
                  <a:defRPr sz="105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Data'!$N$5:$N$10</c:f>
              <c:strCache>
                <c:ptCount val="6"/>
                <c:pt idx="0">
                  <c:v>Reasonableness of hold time*</c:v>
                </c:pt>
                <c:pt idx="1">
                  <c:v>Overall communication</c:v>
                </c:pt>
                <c:pt idx="2">
                  <c:v>Easy to use</c:v>
                </c:pt>
                <c:pt idx="3">
                  <c:v>Provided necessary information</c:v>
                </c:pt>
                <c:pt idx="4">
                  <c:v>Appropriateness of wait time*</c:v>
                </c:pt>
                <c:pt idx="5">
                  <c:v>Usefulness of wait time message</c:v>
                </c:pt>
              </c:strCache>
            </c:strRef>
          </c:cat>
          <c:val>
            <c:numRef>
              <c:f>'Chart Data'!$O$5:$O$10</c:f>
              <c:numCache>
                <c:formatCode>0%</c:formatCode>
                <c:ptCount val="6"/>
                <c:pt idx="0">
                  <c:v>0.63636363636363635</c:v>
                </c:pt>
                <c:pt idx="1">
                  <c:v>0.69607843137254899</c:v>
                </c:pt>
                <c:pt idx="2">
                  <c:v>0.75490196078431371</c:v>
                </c:pt>
                <c:pt idx="3">
                  <c:v>0.69607843137254899</c:v>
                </c:pt>
                <c:pt idx="4">
                  <c:v>0.75490196078431371</c:v>
                </c:pt>
                <c:pt idx="5">
                  <c:v>0.875</c:v>
                </c:pt>
              </c:numCache>
            </c:numRef>
          </c:val>
          <c:extLst>
            <c:ext xmlns:c16="http://schemas.microsoft.com/office/drawing/2014/chart" uri="{C3380CC4-5D6E-409C-BE32-E72D297353CC}">
              <c16:uniqueId val="{0000000A-CE80-4D75-8972-5822BE6EB6B8}"/>
            </c:ext>
          </c:extLst>
        </c:ser>
        <c:dLbls>
          <c:showLegendKey val="0"/>
          <c:showVal val="0"/>
          <c:showCatName val="0"/>
          <c:showSerName val="0"/>
          <c:showPercent val="0"/>
          <c:showBubbleSize val="0"/>
        </c:dLbls>
        <c:gapWidth val="100"/>
        <c:axId val="1860249680"/>
        <c:axId val="1860264096"/>
      </c:barChart>
      <c:valAx>
        <c:axId val="1860264096"/>
        <c:scaling>
          <c:orientation val="minMax"/>
        </c:scaling>
        <c:delete val="0"/>
        <c:axPos val="b"/>
        <c:majorGridlines/>
        <c:numFmt formatCode="0%" sourceLinked="1"/>
        <c:majorTickMark val="out"/>
        <c:minorTickMark val="none"/>
        <c:tickLblPos val="nextTo"/>
        <c:crossAx val="1860249680"/>
        <c:crosses val="autoZero"/>
        <c:crossBetween val="between"/>
      </c:valAx>
      <c:catAx>
        <c:axId val="1860249680"/>
        <c:scaling>
          <c:orientation val="minMax"/>
        </c:scaling>
        <c:delete val="0"/>
        <c:axPos val="l"/>
        <c:numFmt formatCode="General" sourceLinked="1"/>
        <c:majorTickMark val="out"/>
        <c:minorTickMark val="none"/>
        <c:tickLblPos val="nextTo"/>
        <c:txPr>
          <a:bodyPr/>
          <a:lstStyle/>
          <a:p>
            <a:pPr>
              <a:defRPr b="1"/>
            </a:pPr>
            <a:endParaRPr lang="en-US"/>
          </a:p>
        </c:txPr>
        <c:crossAx val="1860264096"/>
        <c:crosses val="autoZero"/>
        <c:auto val="1"/>
        <c:lblAlgn val="ctr"/>
        <c:lblOffset val="100"/>
        <c:noMultiLvlLbl val="0"/>
      </c:catAx>
      <c:spPr>
        <a:noFill/>
        <a:ln>
          <a:noFill/>
        </a:ln>
      </c:spPr>
    </c:plotArea>
    <c:plotVisOnly val="0"/>
    <c:dispBlanksAs val="zero"/>
    <c:showDLblsOverMax val="1"/>
  </c:chart>
  <c:spPr>
    <a:solidFill>
      <a:srgbClr val="FFFFFF">
        <a:alpha val="0"/>
      </a:srgbClr>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0"/>
        <c:ser>
          <c:idx val="0"/>
          <c:order val="0"/>
          <c:tx>
            <c:strRef>
              <c:f>'Chart Data'!$V$4</c:f>
              <c:strCache>
                <c:ptCount val="1"/>
                <c:pt idx="0">
                  <c:v>Q3_2025</c:v>
                </c:pt>
              </c:strCache>
            </c:strRef>
          </c:tx>
          <c:invertIfNegative val="0"/>
          <c:dPt>
            <c:idx val="0"/>
            <c:invertIfNegative val="0"/>
            <c:bubble3D val="0"/>
            <c:spPr>
              <a:solidFill>
                <a:srgbClr val="5891AD"/>
              </a:solidFill>
            </c:spPr>
            <c:extLst>
              <c:ext xmlns:c16="http://schemas.microsoft.com/office/drawing/2014/chart" uri="{C3380CC4-5D6E-409C-BE32-E72D297353CC}">
                <c16:uniqueId val="{00000001-C288-49FA-8A64-FDEECFC3367D}"/>
              </c:ext>
            </c:extLst>
          </c:dPt>
          <c:dPt>
            <c:idx val="1"/>
            <c:invertIfNegative val="0"/>
            <c:bubble3D val="0"/>
            <c:spPr>
              <a:solidFill>
                <a:srgbClr val="004561"/>
              </a:solidFill>
            </c:spPr>
            <c:extLst>
              <c:ext xmlns:c16="http://schemas.microsoft.com/office/drawing/2014/chart" uri="{C3380CC4-5D6E-409C-BE32-E72D297353CC}">
                <c16:uniqueId val="{00000003-C288-49FA-8A64-FDEECFC3367D}"/>
              </c:ext>
            </c:extLst>
          </c:dPt>
          <c:dPt>
            <c:idx val="2"/>
            <c:invertIfNegative val="0"/>
            <c:bubble3D val="0"/>
            <c:spPr>
              <a:solidFill>
                <a:srgbClr val="BBAB8C"/>
              </a:solidFill>
            </c:spPr>
            <c:extLst>
              <c:ext xmlns:c16="http://schemas.microsoft.com/office/drawing/2014/chart" uri="{C3380CC4-5D6E-409C-BE32-E72D297353CC}">
                <c16:uniqueId val="{00000005-C288-49FA-8A64-FDEECFC3367D}"/>
              </c:ext>
            </c:extLst>
          </c:dPt>
          <c:dPt>
            <c:idx val="3"/>
            <c:invertIfNegative val="0"/>
            <c:bubble3D val="0"/>
            <c:spPr>
              <a:solidFill>
                <a:srgbClr val="1C7685"/>
              </a:solidFill>
            </c:spPr>
            <c:extLst>
              <c:ext xmlns:c16="http://schemas.microsoft.com/office/drawing/2014/chart" uri="{C3380CC4-5D6E-409C-BE32-E72D297353CC}">
                <c16:uniqueId val="{00000007-C288-49FA-8A64-FDEECFC3367D}"/>
              </c:ext>
            </c:extLst>
          </c:dPt>
          <c:dPt>
            <c:idx val="4"/>
            <c:invertIfNegative val="0"/>
            <c:bubble3D val="0"/>
            <c:spPr>
              <a:solidFill>
                <a:srgbClr val="A98D71"/>
              </a:solidFill>
            </c:spPr>
            <c:extLst>
              <c:ext xmlns:c16="http://schemas.microsoft.com/office/drawing/2014/chart" uri="{C3380CC4-5D6E-409C-BE32-E72D297353CC}">
                <c16:uniqueId val="{00000009-C288-49FA-8A64-FDEECFC3367D}"/>
              </c:ext>
            </c:extLst>
          </c:dPt>
          <c:dPt>
            <c:idx val="5"/>
            <c:invertIfNegative val="0"/>
            <c:bubble3D val="0"/>
            <c:spPr>
              <a:solidFill>
                <a:srgbClr val="E2DBCE"/>
              </a:solidFill>
            </c:spPr>
            <c:extLst>
              <c:ext xmlns:c16="http://schemas.microsoft.com/office/drawing/2014/chart" uri="{C3380CC4-5D6E-409C-BE32-E72D297353CC}">
                <c16:uniqueId val="{0000000B-C288-49FA-8A64-FDEECFC3367D}"/>
              </c:ext>
            </c:extLst>
          </c:dPt>
          <c:dPt>
            <c:idx val="6"/>
            <c:invertIfNegative val="0"/>
            <c:bubble3D val="0"/>
            <c:spPr>
              <a:solidFill>
                <a:srgbClr val="8AB2C6"/>
              </a:solidFill>
            </c:spPr>
            <c:extLst>
              <c:ext xmlns:c16="http://schemas.microsoft.com/office/drawing/2014/chart" uri="{C3380CC4-5D6E-409C-BE32-E72D297353CC}">
                <c16:uniqueId val="{0000000D-C288-49FA-8A64-FDEECFC3367D}"/>
              </c:ext>
            </c:extLst>
          </c:dPt>
          <c:dPt>
            <c:idx val="7"/>
            <c:invertIfNegative val="0"/>
            <c:bubble3D val="0"/>
            <c:spPr>
              <a:solidFill>
                <a:srgbClr val="4D7D90"/>
              </a:solidFill>
            </c:spPr>
            <c:extLst>
              <c:ext xmlns:c16="http://schemas.microsoft.com/office/drawing/2014/chart" uri="{C3380CC4-5D6E-409C-BE32-E72D297353CC}">
                <c16:uniqueId val="{0000000F-C288-49FA-8A64-FDEECFC3367D}"/>
              </c:ext>
            </c:extLst>
          </c:dPt>
          <c:dPt>
            <c:idx val="8"/>
            <c:invertIfNegative val="0"/>
            <c:bubble3D val="0"/>
            <c:spPr>
              <a:solidFill>
                <a:srgbClr val="DED0B6"/>
              </a:solidFill>
            </c:spPr>
            <c:extLst>
              <c:ext xmlns:c16="http://schemas.microsoft.com/office/drawing/2014/chart" uri="{C3380CC4-5D6E-409C-BE32-E72D297353CC}">
                <c16:uniqueId val="{00000011-C288-49FA-8A64-FDEECFC3367D}"/>
              </c:ext>
            </c:extLst>
          </c:dPt>
          <c:dPt>
            <c:idx val="9"/>
            <c:invertIfNegative val="0"/>
            <c:bubble3D val="0"/>
            <c:spPr>
              <a:solidFill>
                <a:srgbClr val="609FAA"/>
              </a:solidFill>
            </c:spPr>
            <c:extLst>
              <c:ext xmlns:c16="http://schemas.microsoft.com/office/drawing/2014/chart" uri="{C3380CC4-5D6E-409C-BE32-E72D297353CC}">
                <c16:uniqueId val="{00000013-C288-49FA-8A64-FDEECFC3367D}"/>
              </c:ext>
            </c:extLst>
          </c:dPt>
          <c:dLbls>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Data'!$Q$5:$Q$12</c:f>
              <c:strCache>
                <c:ptCount val="8"/>
                <c:pt idx="0">
                  <c:v>Spoke Clearly/Easy to Understand</c:v>
                </c:pt>
                <c:pt idx="1">
                  <c:v>Courteous</c:v>
                </c:pt>
                <c:pt idx="2">
                  <c:v>Eagerness to Help You</c:v>
                </c:pt>
                <c:pt idx="3">
                  <c:v>Acknowledged Issue or Concern</c:v>
                </c:pt>
                <c:pt idx="4">
                  <c:v>Ensured Understanding of Issue or Process</c:v>
                </c:pt>
                <c:pt idx="5">
                  <c:v>Valued as a Customer</c:v>
                </c:pt>
                <c:pt idx="6">
                  <c:v>Satisfied with Call Outcome</c:v>
                </c:pt>
                <c:pt idx="7">
                  <c:v>Offered Appropriate Program and Plans</c:v>
                </c:pt>
              </c:strCache>
            </c:strRef>
          </c:cat>
          <c:val>
            <c:numRef>
              <c:f>'Chart Data'!$V$5:$V$12</c:f>
              <c:numCache>
                <c:formatCode>0%</c:formatCode>
                <c:ptCount val="8"/>
                <c:pt idx="0">
                  <c:v>0.81372549019607843</c:v>
                </c:pt>
                <c:pt idx="1">
                  <c:v>0.78431372549019607</c:v>
                </c:pt>
                <c:pt idx="2">
                  <c:v>0.69607843137254899</c:v>
                </c:pt>
                <c:pt idx="3">
                  <c:v>0.68627450980392157</c:v>
                </c:pt>
                <c:pt idx="4">
                  <c:v>0.68627450980392157</c:v>
                </c:pt>
                <c:pt idx="5">
                  <c:v>0.6470588235294118</c:v>
                </c:pt>
                <c:pt idx="6">
                  <c:v>0.59</c:v>
                </c:pt>
                <c:pt idx="7">
                  <c:v>0.56999999999999995</c:v>
                </c:pt>
              </c:numCache>
            </c:numRef>
          </c:val>
          <c:extLst>
            <c:ext xmlns:c16="http://schemas.microsoft.com/office/drawing/2014/chart" uri="{C3380CC4-5D6E-409C-BE32-E72D297353CC}">
              <c16:uniqueId val="{00000014-C288-49FA-8A64-FDEECFC3367D}"/>
            </c:ext>
          </c:extLst>
        </c:ser>
        <c:dLbls>
          <c:showLegendKey val="0"/>
          <c:showVal val="0"/>
          <c:showCatName val="0"/>
          <c:showSerName val="0"/>
          <c:showPercent val="0"/>
          <c:showBubbleSize val="0"/>
        </c:dLbls>
        <c:gapWidth val="100"/>
        <c:axId val="2118405664"/>
        <c:axId val="2118400960"/>
      </c:barChart>
      <c:valAx>
        <c:axId val="2118400960"/>
        <c:scaling>
          <c:orientation val="minMax"/>
        </c:scaling>
        <c:delete val="0"/>
        <c:axPos val="b"/>
        <c:majorGridlines/>
        <c:numFmt formatCode="0%" sourceLinked="1"/>
        <c:majorTickMark val="out"/>
        <c:minorTickMark val="none"/>
        <c:tickLblPos val="nextTo"/>
        <c:crossAx val="2118405664"/>
        <c:crosses val="autoZero"/>
        <c:crossBetween val="between"/>
      </c:valAx>
      <c:catAx>
        <c:axId val="2118405664"/>
        <c:scaling>
          <c:orientation val="minMax"/>
        </c:scaling>
        <c:delete val="0"/>
        <c:axPos val="l"/>
        <c:numFmt formatCode="General" sourceLinked="1"/>
        <c:majorTickMark val="out"/>
        <c:minorTickMark val="none"/>
        <c:tickLblPos val="nextTo"/>
        <c:txPr>
          <a:bodyPr/>
          <a:lstStyle/>
          <a:p>
            <a:pPr>
              <a:defRPr b="1"/>
            </a:pPr>
            <a:endParaRPr lang="en-US"/>
          </a:p>
        </c:txPr>
        <c:crossAx val="2118400960"/>
        <c:crosses val="autoZero"/>
        <c:auto val="1"/>
        <c:lblAlgn val="ctr"/>
        <c:lblOffset val="100"/>
        <c:noMultiLvlLbl val="0"/>
      </c:catAx>
      <c:spPr>
        <a:noFill/>
      </c:spPr>
    </c:plotArea>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295275</xdr:colOff>
      <xdr:row>7</xdr:row>
      <xdr:rowOff>390525</xdr:rowOff>
    </xdr:from>
    <xdr:ext cx="4644118" cy="3582760"/>
    <xdr:graphicFrame macro="">
      <xdr:nvGraphicFramePr>
        <xdr:cNvPr id="4" name="Chart 3" titl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1700892</xdr:colOff>
      <xdr:row>8</xdr:row>
      <xdr:rowOff>12700</xdr:rowOff>
    </xdr:from>
    <xdr:ext cx="5830208" cy="3822699"/>
    <xdr:graphicFrame macro="">
      <xdr:nvGraphicFramePr>
        <xdr:cNvPr id="5" name="Chart 4" titl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288924</xdr:colOff>
      <xdr:row>8</xdr:row>
      <xdr:rowOff>16782</xdr:rowOff>
    </xdr:from>
    <xdr:ext cx="4473576" cy="3615418"/>
    <xdr:graphicFrame macro="">
      <xdr:nvGraphicFramePr>
        <xdr:cNvPr id="6" name="Chart 5" title="Chart">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12</xdr:col>
      <xdr:colOff>12700</xdr:colOff>
      <xdr:row>8</xdr:row>
      <xdr:rowOff>215900</xdr:rowOff>
    </xdr:from>
    <xdr:to>
      <xdr:col>16</xdr:col>
      <xdr:colOff>25400</xdr:colOff>
      <xdr:row>17</xdr:row>
      <xdr:rowOff>431800</xdr:rowOff>
    </xdr:to>
    <xdr:sp macro="" textlink="'Chart Data'!B23">
      <xdr:nvSpPr>
        <xdr:cNvPr id="7" name="TextBox 6">
          <a:extLst>
            <a:ext uri="{FF2B5EF4-FFF2-40B4-BE49-F238E27FC236}">
              <a16:creationId xmlns:a16="http://schemas.microsoft.com/office/drawing/2014/main" id="{06D8E353-351F-108C-5274-80D73F0D405C}"/>
            </a:ext>
          </a:extLst>
        </xdr:cNvPr>
        <xdr:cNvSpPr txBox="1"/>
      </xdr:nvSpPr>
      <xdr:spPr>
        <a:xfrm>
          <a:off x="16941800" y="2159000"/>
          <a:ext cx="4330700" cy="334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B577AD-009B-2341-B361-87FF1709D834}" type="TxLink">
            <a:rPr lang="en-US" sz="11500" b="1" i="0" u="none" strike="noStrike">
              <a:solidFill>
                <a:srgbClr val="000000"/>
              </a:solidFill>
              <a:latin typeface="Arial"/>
              <a:cs typeface="Arial"/>
            </a:rPr>
            <a:pPr algn="ctr"/>
            <a:t>86%</a:t>
          </a:fld>
          <a:endParaRPr lang="en-US" sz="16600" b="1"/>
        </a:p>
      </xdr:txBody>
    </xdr:sp>
    <xdr:clientData/>
  </xdr:twoCellAnchor>
  <xdr:twoCellAnchor>
    <xdr:from>
      <xdr:col>2</xdr:col>
      <xdr:colOff>76200</xdr:colOff>
      <xdr:row>20</xdr:row>
      <xdr:rowOff>228600</xdr:rowOff>
    </xdr:from>
    <xdr:to>
      <xdr:col>3</xdr:col>
      <xdr:colOff>889000</xdr:colOff>
      <xdr:row>26</xdr:row>
      <xdr:rowOff>292100</xdr:rowOff>
    </xdr:to>
    <xdr:sp macro="" textlink="">
      <xdr:nvSpPr>
        <xdr:cNvPr id="8" name="TextBox 7">
          <a:extLst>
            <a:ext uri="{FF2B5EF4-FFF2-40B4-BE49-F238E27FC236}">
              <a16:creationId xmlns:a16="http://schemas.microsoft.com/office/drawing/2014/main" id="{73DFB831-DADD-5134-71AE-8C3E6D4B2CB2}"/>
            </a:ext>
          </a:extLst>
        </xdr:cNvPr>
        <xdr:cNvSpPr txBox="1"/>
      </xdr:nvSpPr>
      <xdr:spPr>
        <a:xfrm>
          <a:off x="787400" y="6451600"/>
          <a:ext cx="2273300" cy="18923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b="1"/>
            <a:t>39%</a:t>
          </a:r>
        </a:p>
      </xdr:txBody>
    </xdr:sp>
    <xdr:clientData/>
  </xdr:twoCellAnchor>
  <xdr:twoCellAnchor>
    <xdr:from>
      <xdr:col>5</xdr:col>
      <xdr:colOff>5105400</xdr:colOff>
      <xdr:row>20</xdr:row>
      <xdr:rowOff>152400</xdr:rowOff>
    </xdr:from>
    <xdr:to>
      <xdr:col>14</xdr:col>
      <xdr:colOff>279400</xdr:colOff>
      <xdr:row>28</xdr:row>
      <xdr:rowOff>88900</xdr:rowOff>
    </xdr:to>
    <xdr:sp macro="" textlink="">
      <xdr:nvSpPr>
        <xdr:cNvPr id="10" name="TextBox 9">
          <a:extLst>
            <a:ext uri="{FF2B5EF4-FFF2-40B4-BE49-F238E27FC236}">
              <a16:creationId xmlns:a16="http://schemas.microsoft.com/office/drawing/2014/main" id="{F9DB0519-C7D7-E264-02DD-1794CB72332D}"/>
            </a:ext>
          </a:extLst>
        </xdr:cNvPr>
        <xdr:cNvSpPr txBox="1"/>
      </xdr:nvSpPr>
      <xdr:spPr>
        <a:xfrm>
          <a:off x="11607800" y="6375400"/>
          <a:ext cx="7861300" cy="2374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182880" rtlCol="0" anchor="t"/>
        <a:lstStyle/>
        <a:p>
          <a:pPr marL="1200150" lvl="2" indent="-285750" algn="l">
            <a:buFont typeface="Arial" panose="020B0604020202020204" pitchFamily="34" charset="0"/>
            <a:buChar char="•"/>
          </a:pPr>
          <a:r>
            <a:rPr lang="en-US" sz="1600" b="0" dirty="0">
              <a:solidFill>
                <a:srgbClr val="000000"/>
              </a:solidFill>
              <a:latin typeface="Tahoma"/>
            </a:rPr>
            <a:t>Mr. Joseph Hernandez has not returned the last 3 phone calls I left for him.</a:t>
          </a:r>
        </a:p>
        <a:p>
          <a:pPr marL="1200150" lvl="2" indent="-285750" algn="l">
            <a:buFont typeface="Arial" panose="020B0604020202020204" pitchFamily="34" charset="0"/>
            <a:buChar char="•"/>
          </a:pPr>
          <a:r>
            <a:rPr lang="en-US" sz="1600" b="0" dirty="0">
              <a:solidFill>
                <a:srgbClr val="000000"/>
              </a:solidFill>
              <a:latin typeface="Tahoma"/>
            </a:rPr>
            <a:t>Were not well informed.</a:t>
          </a:r>
        </a:p>
        <a:p>
          <a:pPr marL="1200150" lvl="2" indent="-285750" algn="l">
            <a:buFont typeface="Arial" panose="020B0604020202020204" pitchFamily="34" charset="0"/>
            <a:buChar char="•"/>
          </a:pPr>
          <a:r>
            <a:rPr lang="en-US" sz="1600" b="0" dirty="0">
              <a:solidFill>
                <a:srgbClr val="000000"/>
              </a:solidFill>
              <a:latin typeface="Tahoma"/>
            </a:rPr>
            <a:t>The bill needs more explanation of what each charge or credit is.</a:t>
          </a:r>
        </a:p>
        <a:p>
          <a:pPr marL="1200150" lvl="2" indent="-285750" algn="l">
            <a:buFont typeface="Arial" panose="020B0604020202020204" pitchFamily="34" charset="0"/>
            <a:buChar char="•"/>
          </a:pPr>
          <a:r>
            <a:rPr lang="en-US" sz="1600" b="0" dirty="0">
              <a:solidFill>
                <a:srgbClr val="000000"/>
              </a:solidFill>
              <a:latin typeface="Tahoma"/>
            </a:rPr>
            <a:t>They never called!</a:t>
          </a:r>
        </a:p>
        <a:p>
          <a:pPr marL="1200150" lvl="2" indent="-285750" algn="l">
            <a:buFont typeface="Arial" panose="020B0604020202020204" pitchFamily="34" charset="0"/>
            <a:buChar char="•"/>
          </a:pPr>
          <a:r>
            <a:rPr lang="en-US" sz="1600" b="0" dirty="0">
              <a:solidFill>
                <a:srgbClr val="000000"/>
              </a:solidFill>
              <a:latin typeface="Tahoma"/>
            </a:rPr>
            <a:t>Never got an answer to my question</a:t>
          </a:r>
        </a:p>
        <a:p>
          <a:pPr marL="1200150" lvl="2" indent="-285750" algn="l">
            <a:buFont typeface="Arial" panose="020B0604020202020204" pitchFamily="34" charset="0"/>
            <a:buChar char="•"/>
          </a:pPr>
          <a:r>
            <a:rPr lang="en-US" sz="1600" b="0" dirty="0">
              <a:solidFill>
                <a:srgbClr val="000000"/>
              </a:solidFill>
              <a:latin typeface="Tahoma"/>
            </a:rPr>
            <a:t>Fix my bill cheap etc. credit. </a:t>
          </a:r>
          <a:r>
            <a:rPr lang="en-US" sz="1600" dirty="0">
              <a:solidFill>
                <a:srgbClr val="000000"/>
              </a:solidFill>
              <a:latin typeface="Tahoma"/>
            </a:rPr>
            <a:t>Y</a:t>
          </a:r>
          <a:r>
            <a:rPr lang="en-US" sz="1600" b="0" dirty="0">
              <a:solidFill>
                <a:srgbClr val="000000"/>
              </a:solidFill>
              <a:latin typeface="Tahoma"/>
            </a:rPr>
            <a:t>ou morons don’t apply no time</a:t>
          </a:r>
        </a:p>
        <a:p>
          <a:endParaRPr lang="en-US" sz="1100"/>
        </a:p>
      </xdr:txBody>
    </xdr:sp>
    <xdr:clientData/>
  </xdr:twoCellAnchor>
  <xdr:twoCellAnchor>
    <xdr:from>
      <xdr:col>4</xdr:col>
      <xdr:colOff>190500</xdr:colOff>
      <xdr:row>20</xdr:row>
      <xdr:rowOff>266700</xdr:rowOff>
    </xdr:from>
    <xdr:to>
      <xdr:col>5</xdr:col>
      <xdr:colOff>63500</xdr:colOff>
      <xdr:row>27</xdr:row>
      <xdr:rowOff>25400</xdr:rowOff>
    </xdr:to>
    <xdr:sp macro="" textlink="">
      <xdr:nvSpPr>
        <xdr:cNvPr id="12" name="TextBox 11">
          <a:extLst>
            <a:ext uri="{FF2B5EF4-FFF2-40B4-BE49-F238E27FC236}">
              <a16:creationId xmlns:a16="http://schemas.microsoft.com/office/drawing/2014/main" id="{BD387830-14F4-D486-8E78-CA1C316EE21B}"/>
            </a:ext>
          </a:extLst>
        </xdr:cNvPr>
        <xdr:cNvSpPr txBox="1"/>
      </xdr:nvSpPr>
      <xdr:spPr>
        <a:xfrm>
          <a:off x="4292600" y="6489700"/>
          <a:ext cx="2273300" cy="18923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b="1"/>
            <a:t>38%</a:t>
          </a:r>
        </a:p>
      </xdr:txBody>
    </xdr:sp>
    <xdr:clientData/>
  </xdr:twoCellAnchor>
  <xdr:twoCellAnchor>
    <xdr:from>
      <xdr:col>5</xdr:col>
      <xdr:colOff>1460500</xdr:colOff>
      <xdr:row>20</xdr:row>
      <xdr:rowOff>292100</xdr:rowOff>
    </xdr:from>
    <xdr:to>
      <xdr:col>5</xdr:col>
      <xdr:colOff>3733800</xdr:colOff>
      <xdr:row>27</xdr:row>
      <xdr:rowOff>50800</xdr:rowOff>
    </xdr:to>
    <xdr:sp macro="" textlink="">
      <xdr:nvSpPr>
        <xdr:cNvPr id="13" name="TextBox 12">
          <a:extLst>
            <a:ext uri="{FF2B5EF4-FFF2-40B4-BE49-F238E27FC236}">
              <a16:creationId xmlns:a16="http://schemas.microsoft.com/office/drawing/2014/main" id="{C7ECEF0B-964F-8C1F-FBDF-AA3B8D5FE6CE}"/>
            </a:ext>
          </a:extLst>
        </xdr:cNvPr>
        <xdr:cNvSpPr txBox="1"/>
      </xdr:nvSpPr>
      <xdr:spPr>
        <a:xfrm>
          <a:off x="7962900" y="6515100"/>
          <a:ext cx="2273300" cy="18923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b="1"/>
            <a:t>18%</a:t>
          </a:r>
        </a:p>
      </xdr:txBody>
    </xdr:sp>
    <xdr:clientData/>
  </xdr:twoCellAnchor>
  <xdr:twoCellAnchor>
    <xdr:from>
      <xdr:col>13</xdr:col>
      <xdr:colOff>88900</xdr:colOff>
      <xdr:row>15</xdr:row>
      <xdr:rowOff>190500</xdr:rowOff>
    </xdr:from>
    <xdr:to>
      <xdr:col>14</xdr:col>
      <xdr:colOff>660400</xdr:colOff>
      <xdr:row>17</xdr:row>
      <xdr:rowOff>304800</xdr:rowOff>
    </xdr:to>
    <xdr:sp macro="" textlink="">
      <xdr:nvSpPr>
        <xdr:cNvPr id="15" name="TextBox 14">
          <a:extLst>
            <a:ext uri="{FF2B5EF4-FFF2-40B4-BE49-F238E27FC236}">
              <a16:creationId xmlns:a16="http://schemas.microsoft.com/office/drawing/2014/main" id="{F7EFCC69-FFC3-AA8B-032D-D70C03EA5A95}"/>
            </a:ext>
          </a:extLst>
        </xdr:cNvPr>
        <xdr:cNvSpPr txBox="1"/>
      </xdr:nvSpPr>
      <xdr:spPr>
        <a:xfrm>
          <a:off x="18249900" y="4724400"/>
          <a:ext cx="1600200" cy="647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accent6">
                  <a:lumMod val="50000"/>
                </a:schemeClr>
              </a:solidFill>
            </a:rPr>
            <a:t>↑ 2%</a:t>
          </a:r>
          <a:endParaRPr lang="en-US" sz="1400">
            <a:solidFill>
              <a:schemeClr val="accent6">
                <a:lumMod val="50000"/>
              </a:schemeClr>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ustome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Customers Data"/>
      <sheetName val="Setup"/>
      <sheetName val="!Helper"/>
    </sheetNames>
    <sheetDataSet>
      <sheetData sheetId="0"/>
      <sheetData sheetId="1">
        <row r="4">
          <cell r="B4">
            <v>44927</v>
          </cell>
          <cell r="C4" t="str">
            <v>John Smith</v>
          </cell>
          <cell r="H4">
            <v>4.5999999999999996</v>
          </cell>
        </row>
        <row r="5">
          <cell r="B5">
            <v>44928</v>
          </cell>
          <cell r="C5" t="str">
            <v>Sarah Johnson</v>
          </cell>
          <cell r="H5">
            <v>4.6500000000000004</v>
          </cell>
        </row>
        <row r="6">
          <cell r="B6">
            <v>44929</v>
          </cell>
          <cell r="C6" t="str">
            <v>Michael Davis</v>
          </cell>
          <cell r="H6">
            <v>4.4000000000000004</v>
          </cell>
        </row>
        <row r="7">
          <cell r="B7">
            <v>44930</v>
          </cell>
          <cell r="C7" t="str">
            <v>Emily White</v>
          </cell>
          <cell r="H7">
            <v>4.8499999999999996</v>
          </cell>
        </row>
        <row r="8">
          <cell r="B8">
            <v>44959</v>
          </cell>
          <cell r="C8" t="str">
            <v>Brian Thompson</v>
          </cell>
          <cell r="H8">
            <v>4.55</v>
          </cell>
        </row>
        <row r="9">
          <cell r="B9">
            <v>44960</v>
          </cell>
          <cell r="C9" t="str">
            <v>Jessica Turner</v>
          </cell>
          <cell r="H9">
            <v>4.55</v>
          </cell>
        </row>
        <row r="10">
          <cell r="B10">
            <v>44961</v>
          </cell>
          <cell r="C10" t="str">
            <v>Kevin Miller</v>
          </cell>
          <cell r="H10">
            <v>4.25</v>
          </cell>
        </row>
        <row r="11">
          <cell r="B11">
            <v>44962</v>
          </cell>
          <cell r="C11" t="str">
            <v>Lauren Adams</v>
          </cell>
          <cell r="H11">
            <v>4.75</v>
          </cell>
        </row>
        <row r="12">
          <cell r="B12">
            <v>44963</v>
          </cell>
          <cell r="C12" t="str">
            <v>Ryan Cooper</v>
          </cell>
          <cell r="H12">
            <v>4.55</v>
          </cell>
        </row>
        <row r="13">
          <cell r="B13">
            <v>44964</v>
          </cell>
          <cell r="C13" t="str">
            <v>Ashley Parker</v>
          </cell>
          <cell r="H13">
            <v>4.8</v>
          </cell>
        </row>
        <row r="14">
          <cell r="B14"/>
          <cell r="C14"/>
          <cell r="H14" t="str">
            <v/>
          </cell>
        </row>
        <row r="15">
          <cell r="B15"/>
          <cell r="C15"/>
          <cell r="H15" t="str">
            <v/>
          </cell>
        </row>
        <row r="16">
          <cell r="B16"/>
          <cell r="C16"/>
          <cell r="H16" t="str">
            <v/>
          </cell>
        </row>
        <row r="17">
          <cell r="B17"/>
          <cell r="C17"/>
          <cell r="H17" t="str">
            <v/>
          </cell>
        </row>
        <row r="18">
          <cell r="B18"/>
          <cell r="C18"/>
          <cell r="H18" t="str">
            <v/>
          </cell>
        </row>
        <row r="19">
          <cell r="B19"/>
          <cell r="C19"/>
          <cell r="H19" t="str">
            <v/>
          </cell>
        </row>
        <row r="20">
          <cell r="B20"/>
          <cell r="C20"/>
          <cell r="H20" t="str">
            <v/>
          </cell>
        </row>
        <row r="21">
          <cell r="B21"/>
          <cell r="C21"/>
          <cell r="H21" t="str">
            <v/>
          </cell>
        </row>
        <row r="22">
          <cell r="B22"/>
          <cell r="C22"/>
          <cell r="H22" t="str">
            <v/>
          </cell>
        </row>
        <row r="23">
          <cell r="B23"/>
          <cell r="C23"/>
          <cell r="H23" t="str">
            <v/>
          </cell>
        </row>
        <row r="24">
          <cell r="B24"/>
          <cell r="C24"/>
          <cell r="H24" t="str">
            <v/>
          </cell>
        </row>
        <row r="25">
          <cell r="B25"/>
          <cell r="C25"/>
          <cell r="H25" t="str">
            <v/>
          </cell>
        </row>
        <row r="26">
          <cell r="B26"/>
          <cell r="C26"/>
          <cell r="H26" t="str">
            <v/>
          </cell>
        </row>
        <row r="27">
          <cell r="B27"/>
          <cell r="C27"/>
          <cell r="H27" t="str">
            <v/>
          </cell>
        </row>
        <row r="28">
          <cell r="B28"/>
          <cell r="C28"/>
          <cell r="H28" t="str">
            <v/>
          </cell>
        </row>
        <row r="29">
          <cell r="B29"/>
          <cell r="C29"/>
          <cell r="H29" t="str">
            <v/>
          </cell>
        </row>
        <row r="30">
          <cell r="B30"/>
          <cell r="C30"/>
          <cell r="H30" t="str">
            <v/>
          </cell>
        </row>
        <row r="31">
          <cell r="B31"/>
          <cell r="C31"/>
          <cell r="H31" t="str">
            <v/>
          </cell>
        </row>
        <row r="32">
          <cell r="B32"/>
          <cell r="C32"/>
          <cell r="H32" t="str">
            <v/>
          </cell>
        </row>
        <row r="33">
          <cell r="B33"/>
          <cell r="C33"/>
          <cell r="H33" t="str">
            <v/>
          </cell>
        </row>
        <row r="34">
          <cell r="B34"/>
          <cell r="C34"/>
          <cell r="H34" t="str">
            <v/>
          </cell>
        </row>
        <row r="35">
          <cell r="B35"/>
          <cell r="C35"/>
          <cell r="H35" t="str">
            <v/>
          </cell>
        </row>
        <row r="36">
          <cell r="B36"/>
          <cell r="C36"/>
          <cell r="H36" t="str">
            <v/>
          </cell>
        </row>
        <row r="37">
          <cell r="B37"/>
          <cell r="C37"/>
          <cell r="H37" t="str">
            <v/>
          </cell>
        </row>
        <row r="38">
          <cell r="B38"/>
          <cell r="C38"/>
          <cell r="H38" t="str">
            <v/>
          </cell>
        </row>
        <row r="39">
          <cell r="B39"/>
          <cell r="C39"/>
          <cell r="H39" t="str">
            <v/>
          </cell>
        </row>
        <row r="40">
          <cell r="B40"/>
          <cell r="C40"/>
          <cell r="H40" t="str">
            <v/>
          </cell>
        </row>
        <row r="41">
          <cell r="B41"/>
          <cell r="C41"/>
          <cell r="H41" t="str">
            <v/>
          </cell>
        </row>
        <row r="42">
          <cell r="B42"/>
          <cell r="C42"/>
          <cell r="H42" t="str">
            <v/>
          </cell>
        </row>
        <row r="43">
          <cell r="B43"/>
          <cell r="C43"/>
          <cell r="H43" t="str">
            <v/>
          </cell>
        </row>
        <row r="44">
          <cell r="B44"/>
          <cell r="C44"/>
          <cell r="H44" t="str">
            <v/>
          </cell>
        </row>
        <row r="45">
          <cell r="B45"/>
          <cell r="C45"/>
          <cell r="H45" t="str">
            <v/>
          </cell>
        </row>
        <row r="46">
          <cell r="B46"/>
          <cell r="C46"/>
          <cell r="H46" t="str">
            <v/>
          </cell>
        </row>
        <row r="47">
          <cell r="B47"/>
          <cell r="C47"/>
          <cell r="H47" t="str">
            <v/>
          </cell>
        </row>
        <row r="48">
          <cell r="B48"/>
          <cell r="C48"/>
          <cell r="H48" t="str">
            <v/>
          </cell>
        </row>
        <row r="49">
          <cell r="B49"/>
          <cell r="C49"/>
          <cell r="H49" t="str">
            <v/>
          </cell>
        </row>
        <row r="50">
          <cell r="B50"/>
          <cell r="C50"/>
          <cell r="H50" t="str">
            <v/>
          </cell>
        </row>
        <row r="51">
          <cell r="B51"/>
          <cell r="C51"/>
          <cell r="H51" t="str">
            <v/>
          </cell>
        </row>
        <row r="52">
          <cell r="B52"/>
          <cell r="C52"/>
          <cell r="H52" t="str">
            <v/>
          </cell>
        </row>
        <row r="53">
          <cell r="B53"/>
          <cell r="C53"/>
          <cell r="H53" t="str">
            <v/>
          </cell>
        </row>
        <row r="54">
          <cell r="B54"/>
          <cell r="C54"/>
          <cell r="H54" t="str">
            <v/>
          </cell>
        </row>
        <row r="55">
          <cell r="B55"/>
          <cell r="C55"/>
          <cell r="H55" t="str">
            <v/>
          </cell>
        </row>
        <row r="56">
          <cell r="B56"/>
          <cell r="C56"/>
          <cell r="H56" t="str">
            <v/>
          </cell>
        </row>
        <row r="57">
          <cell r="B57"/>
          <cell r="C57"/>
          <cell r="H57" t="str">
            <v/>
          </cell>
        </row>
        <row r="58">
          <cell r="B58"/>
          <cell r="C58"/>
          <cell r="H58" t="str">
            <v/>
          </cell>
        </row>
        <row r="59">
          <cell r="B59"/>
          <cell r="C59"/>
          <cell r="H59" t="str">
            <v/>
          </cell>
        </row>
        <row r="60">
          <cell r="B60"/>
          <cell r="C60"/>
          <cell r="H60" t="str">
            <v/>
          </cell>
        </row>
        <row r="61">
          <cell r="B61"/>
          <cell r="C61"/>
          <cell r="H61" t="str">
            <v/>
          </cell>
        </row>
        <row r="62">
          <cell r="B62"/>
          <cell r="C62"/>
          <cell r="H62" t="str">
            <v/>
          </cell>
        </row>
        <row r="63">
          <cell r="B63"/>
          <cell r="C63"/>
          <cell r="H63" t="str">
            <v/>
          </cell>
        </row>
        <row r="64">
          <cell r="B64"/>
          <cell r="C64"/>
          <cell r="H64" t="str">
            <v/>
          </cell>
        </row>
        <row r="65">
          <cell r="B65"/>
          <cell r="C65"/>
          <cell r="H65" t="str">
            <v/>
          </cell>
        </row>
        <row r="66">
          <cell r="B66"/>
          <cell r="C66"/>
          <cell r="H66" t="str">
            <v/>
          </cell>
        </row>
        <row r="67">
          <cell r="B67"/>
          <cell r="C67"/>
          <cell r="H67" t="str">
            <v/>
          </cell>
        </row>
        <row r="68">
          <cell r="B68"/>
          <cell r="C68"/>
          <cell r="H68" t="str">
            <v/>
          </cell>
        </row>
        <row r="69">
          <cell r="B69"/>
          <cell r="C69"/>
          <cell r="H69" t="str">
            <v/>
          </cell>
        </row>
        <row r="70">
          <cell r="B70"/>
          <cell r="C70"/>
          <cell r="H70" t="str">
            <v/>
          </cell>
        </row>
        <row r="71">
          <cell r="B71"/>
          <cell r="C71"/>
          <cell r="H71" t="str">
            <v/>
          </cell>
        </row>
        <row r="72">
          <cell r="B72"/>
          <cell r="C72"/>
          <cell r="H72" t="str">
            <v/>
          </cell>
        </row>
        <row r="73">
          <cell r="B73"/>
          <cell r="C73"/>
          <cell r="H73" t="str">
            <v/>
          </cell>
        </row>
        <row r="74">
          <cell r="B74"/>
          <cell r="C74"/>
          <cell r="H74" t="str">
            <v/>
          </cell>
        </row>
        <row r="75">
          <cell r="B75"/>
          <cell r="C75"/>
          <cell r="H75" t="str">
            <v/>
          </cell>
        </row>
        <row r="76">
          <cell r="B76"/>
          <cell r="C76"/>
          <cell r="H76" t="str">
            <v/>
          </cell>
        </row>
        <row r="77">
          <cell r="B77"/>
          <cell r="C77"/>
          <cell r="H77" t="str">
            <v/>
          </cell>
        </row>
        <row r="78">
          <cell r="B78"/>
          <cell r="C78"/>
          <cell r="H78" t="str">
            <v/>
          </cell>
        </row>
        <row r="79">
          <cell r="B79"/>
          <cell r="C79"/>
          <cell r="H79" t="str">
            <v/>
          </cell>
        </row>
        <row r="80">
          <cell r="B80"/>
          <cell r="C80"/>
          <cell r="H80" t="str">
            <v/>
          </cell>
        </row>
        <row r="81">
          <cell r="B81"/>
          <cell r="C81"/>
          <cell r="H81" t="str">
            <v/>
          </cell>
        </row>
        <row r="82">
          <cell r="B82"/>
          <cell r="C82"/>
          <cell r="H82" t="str">
            <v/>
          </cell>
        </row>
        <row r="83">
          <cell r="B83"/>
          <cell r="C83"/>
          <cell r="H83" t="str">
            <v/>
          </cell>
        </row>
        <row r="84">
          <cell r="B84"/>
          <cell r="C84"/>
          <cell r="H84" t="str">
            <v/>
          </cell>
        </row>
        <row r="85">
          <cell r="B85"/>
          <cell r="C85"/>
          <cell r="H85" t="str">
            <v/>
          </cell>
        </row>
        <row r="86">
          <cell r="B86"/>
          <cell r="C86"/>
          <cell r="H86" t="str">
            <v/>
          </cell>
        </row>
        <row r="87">
          <cell r="B87"/>
          <cell r="C87"/>
          <cell r="H87" t="str">
            <v/>
          </cell>
        </row>
        <row r="88">
          <cell r="B88"/>
          <cell r="C88"/>
          <cell r="H88" t="str">
            <v/>
          </cell>
        </row>
        <row r="89">
          <cell r="B89"/>
          <cell r="C89"/>
          <cell r="H89" t="str">
            <v/>
          </cell>
        </row>
        <row r="90">
          <cell r="B90"/>
          <cell r="C90"/>
          <cell r="H90" t="str">
            <v/>
          </cell>
        </row>
        <row r="91">
          <cell r="B91"/>
          <cell r="C91"/>
          <cell r="H91" t="str">
            <v/>
          </cell>
        </row>
        <row r="92">
          <cell r="B92"/>
          <cell r="C92"/>
          <cell r="H92" t="str">
            <v/>
          </cell>
        </row>
        <row r="93">
          <cell r="B93"/>
          <cell r="C93"/>
          <cell r="H93" t="str">
            <v/>
          </cell>
        </row>
        <row r="94">
          <cell r="B94"/>
          <cell r="C94"/>
          <cell r="H94" t="str">
            <v/>
          </cell>
        </row>
        <row r="95">
          <cell r="B95"/>
          <cell r="C95"/>
          <cell r="H95" t="str">
            <v/>
          </cell>
        </row>
        <row r="96">
          <cell r="B96"/>
          <cell r="C96"/>
          <cell r="H96" t="str">
            <v/>
          </cell>
        </row>
        <row r="97">
          <cell r="B97"/>
          <cell r="C97"/>
          <cell r="H97" t="str">
            <v/>
          </cell>
        </row>
        <row r="98">
          <cell r="B98"/>
          <cell r="C98"/>
          <cell r="H98" t="str">
            <v/>
          </cell>
        </row>
        <row r="99">
          <cell r="B99"/>
          <cell r="C99"/>
          <cell r="H99" t="str">
            <v/>
          </cell>
        </row>
        <row r="100">
          <cell r="B100"/>
          <cell r="C100"/>
          <cell r="H100" t="str">
            <v/>
          </cell>
        </row>
        <row r="101">
          <cell r="B101"/>
          <cell r="C101"/>
          <cell r="H101" t="str">
            <v/>
          </cell>
        </row>
        <row r="102">
          <cell r="B102"/>
          <cell r="C102"/>
          <cell r="H102" t="str">
            <v/>
          </cell>
        </row>
        <row r="103">
          <cell r="B103"/>
          <cell r="C103"/>
          <cell r="H103" t="str">
            <v/>
          </cell>
        </row>
        <row r="104">
          <cell r="B104"/>
          <cell r="C104"/>
          <cell r="H104" t="str">
            <v/>
          </cell>
        </row>
        <row r="105">
          <cell r="B105"/>
          <cell r="C105"/>
          <cell r="H105" t="str">
            <v/>
          </cell>
        </row>
        <row r="106">
          <cell r="B106"/>
          <cell r="C106"/>
          <cell r="H106" t="str">
            <v/>
          </cell>
        </row>
        <row r="107">
          <cell r="B107"/>
          <cell r="C107"/>
          <cell r="H107" t="str">
            <v/>
          </cell>
        </row>
        <row r="108">
          <cell r="B108"/>
          <cell r="C108"/>
          <cell r="H108" t="str">
            <v/>
          </cell>
        </row>
        <row r="109">
          <cell r="B109"/>
          <cell r="C109"/>
          <cell r="H109" t="str">
            <v/>
          </cell>
        </row>
        <row r="110">
          <cell r="B110"/>
          <cell r="C110"/>
          <cell r="H110" t="str">
            <v/>
          </cell>
        </row>
        <row r="111">
          <cell r="B111"/>
          <cell r="C111"/>
          <cell r="H111" t="str">
            <v/>
          </cell>
        </row>
        <row r="112">
          <cell r="B112"/>
          <cell r="C112"/>
          <cell r="H112" t="str">
            <v/>
          </cell>
        </row>
        <row r="113">
          <cell r="B113"/>
          <cell r="C113"/>
          <cell r="H113" t="str">
            <v/>
          </cell>
        </row>
        <row r="114">
          <cell r="B114"/>
          <cell r="C114"/>
          <cell r="H114" t="str">
            <v/>
          </cell>
        </row>
        <row r="115">
          <cell r="B115"/>
          <cell r="C115"/>
          <cell r="H115" t="str">
            <v/>
          </cell>
        </row>
        <row r="116">
          <cell r="B116"/>
          <cell r="C116"/>
          <cell r="H116" t="str">
            <v/>
          </cell>
        </row>
        <row r="117">
          <cell r="B117"/>
          <cell r="C117"/>
          <cell r="H117" t="str">
            <v/>
          </cell>
        </row>
        <row r="118">
          <cell r="B118"/>
          <cell r="C118"/>
          <cell r="H118" t="str">
            <v/>
          </cell>
        </row>
        <row r="119">
          <cell r="B119"/>
          <cell r="C119"/>
          <cell r="H119" t="str">
            <v/>
          </cell>
        </row>
        <row r="120">
          <cell r="B120"/>
          <cell r="C120"/>
          <cell r="H120" t="str">
            <v/>
          </cell>
        </row>
        <row r="121">
          <cell r="B121"/>
          <cell r="C121"/>
          <cell r="H121" t="str">
            <v/>
          </cell>
        </row>
        <row r="122">
          <cell r="B122"/>
          <cell r="C122"/>
          <cell r="H122" t="str">
            <v/>
          </cell>
        </row>
        <row r="123">
          <cell r="B123"/>
          <cell r="C123"/>
          <cell r="H123" t="str">
            <v/>
          </cell>
        </row>
        <row r="124">
          <cell r="B124"/>
          <cell r="C124"/>
          <cell r="H124" t="str">
            <v/>
          </cell>
        </row>
        <row r="125">
          <cell r="B125"/>
          <cell r="C125"/>
          <cell r="H125" t="str">
            <v/>
          </cell>
        </row>
        <row r="126">
          <cell r="B126"/>
          <cell r="C126"/>
          <cell r="H126" t="str">
            <v/>
          </cell>
        </row>
        <row r="127">
          <cell r="B127"/>
          <cell r="C127"/>
          <cell r="H127" t="str">
            <v/>
          </cell>
        </row>
        <row r="128">
          <cell r="B128"/>
          <cell r="C128"/>
          <cell r="H128" t="str">
            <v/>
          </cell>
        </row>
        <row r="129">
          <cell r="B129"/>
          <cell r="C129"/>
          <cell r="H129" t="str">
            <v/>
          </cell>
        </row>
        <row r="130">
          <cell r="B130"/>
          <cell r="C130"/>
          <cell r="H130" t="str">
            <v/>
          </cell>
        </row>
        <row r="131">
          <cell r="B131"/>
          <cell r="C131"/>
          <cell r="H131" t="str">
            <v/>
          </cell>
        </row>
        <row r="132">
          <cell r="B132"/>
          <cell r="C132"/>
          <cell r="H132" t="str">
            <v/>
          </cell>
        </row>
        <row r="133">
          <cell r="B133"/>
          <cell r="C133"/>
          <cell r="H133" t="str">
            <v/>
          </cell>
        </row>
        <row r="134">
          <cell r="B134"/>
          <cell r="C134"/>
          <cell r="H134" t="str">
            <v/>
          </cell>
        </row>
        <row r="135">
          <cell r="B135"/>
          <cell r="C135"/>
          <cell r="H135" t="str">
            <v/>
          </cell>
        </row>
        <row r="136">
          <cell r="B136"/>
          <cell r="C136"/>
          <cell r="H136" t="str">
            <v/>
          </cell>
        </row>
        <row r="137">
          <cell r="B137"/>
          <cell r="C137"/>
          <cell r="H137" t="str">
            <v/>
          </cell>
        </row>
        <row r="138">
          <cell r="B138"/>
          <cell r="C138"/>
          <cell r="H138" t="str">
            <v/>
          </cell>
        </row>
        <row r="139">
          <cell r="B139"/>
          <cell r="C139"/>
          <cell r="H139" t="str">
            <v/>
          </cell>
        </row>
        <row r="140">
          <cell r="B140"/>
          <cell r="C140"/>
          <cell r="H140" t="str">
            <v/>
          </cell>
        </row>
        <row r="141">
          <cell r="B141"/>
          <cell r="C141"/>
          <cell r="H141" t="str">
            <v/>
          </cell>
        </row>
        <row r="142">
          <cell r="B142"/>
          <cell r="C142"/>
          <cell r="H142" t="str">
            <v/>
          </cell>
        </row>
        <row r="143">
          <cell r="B143"/>
          <cell r="C143"/>
          <cell r="H143" t="str">
            <v/>
          </cell>
        </row>
        <row r="144">
          <cell r="B144"/>
          <cell r="C144"/>
          <cell r="H144" t="str">
            <v/>
          </cell>
        </row>
        <row r="145">
          <cell r="B145"/>
          <cell r="C145"/>
          <cell r="H145" t="str">
            <v/>
          </cell>
        </row>
        <row r="146">
          <cell r="B146"/>
          <cell r="C146"/>
          <cell r="H146" t="str">
            <v/>
          </cell>
        </row>
        <row r="147">
          <cell r="B147"/>
          <cell r="C147"/>
          <cell r="H147" t="str">
            <v/>
          </cell>
        </row>
        <row r="148">
          <cell r="B148"/>
          <cell r="C148"/>
          <cell r="H148" t="str">
            <v/>
          </cell>
        </row>
        <row r="149">
          <cell r="B149"/>
          <cell r="C149"/>
          <cell r="H149" t="str">
            <v/>
          </cell>
        </row>
        <row r="150">
          <cell r="B150"/>
          <cell r="C150"/>
          <cell r="H150" t="str">
            <v/>
          </cell>
        </row>
        <row r="151">
          <cell r="B151"/>
          <cell r="C151"/>
          <cell r="H151" t="str">
            <v/>
          </cell>
        </row>
        <row r="152">
          <cell r="B152"/>
          <cell r="C152"/>
          <cell r="H152" t="str">
            <v/>
          </cell>
        </row>
        <row r="153">
          <cell r="B153"/>
          <cell r="C153"/>
          <cell r="H153" t="str">
            <v/>
          </cell>
        </row>
        <row r="154">
          <cell r="B154"/>
          <cell r="C154"/>
          <cell r="H154" t="str">
            <v/>
          </cell>
        </row>
        <row r="155">
          <cell r="B155"/>
          <cell r="C155"/>
          <cell r="H155" t="str">
            <v/>
          </cell>
        </row>
        <row r="156">
          <cell r="B156"/>
          <cell r="C156"/>
          <cell r="H156" t="str">
            <v/>
          </cell>
        </row>
        <row r="157">
          <cell r="B157"/>
          <cell r="C157"/>
          <cell r="H157" t="str">
            <v/>
          </cell>
        </row>
        <row r="158">
          <cell r="B158"/>
          <cell r="C158"/>
          <cell r="H158" t="str">
            <v/>
          </cell>
        </row>
        <row r="159">
          <cell r="B159"/>
          <cell r="C159"/>
          <cell r="H159" t="str">
            <v/>
          </cell>
        </row>
        <row r="160">
          <cell r="B160"/>
          <cell r="C160"/>
          <cell r="H160" t="str">
            <v/>
          </cell>
        </row>
        <row r="161">
          <cell r="B161"/>
          <cell r="C161"/>
          <cell r="H161" t="str">
            <v/>
          </cell>
        </row>
        <row r="162">
          <cell r="B162"/>
          <cell r="C162"/>
          <cell r="H162" t="str">
            <v/>
          </cell>
        </row>
        <row r="163">
          <cell r="B163"/>
          <cell r="C163"/>
          <cell r="H163" t="str">
            <v/>
          </cell>
        </row>
        <row r="164">
          <cell r="B164"/>
          <cell r="C164"/>
          <cell r="H164" t="str">
            <v/>
          </cell>
        </row>
        <row r="165">
          <cell r="B165"/>
          <cell r="C165"/>
          <cell r="H165" t="str">
            <v/>
          </cell>
        </row>
        <row r="166">
          <cell r="B166"/>
          <cell r="C166"/>
          <cell r="H166" t="str">
            <v/>
          </cell>
        </row>
        <row r="167">
          <cell r="B167"/>
          <cell r="C167"/>
          <cell r="H167" t="str">
            <v/>
          </cell>
        </row>
        <row r="168">
          <cell r="B168"/>
          <cell r="C168"/>
          <cell r="H168" t="str">
            <v/>
          </cell>
        </row>
        <row r="169">
          <cell r="B169"/>
          <cell r="C169"/>
          <cell r="H169" t="str">
            <v/>
          </cell>
        </row>
        <row r="170">
          <cell r="B170"/>
          <cell r="C170"/>
          <cell r="H170" t="str">
            <v/>
          </cell>
        </row>
        <row r="171">
          <cell r="B171"/>
          <cell r="C171"/>
          <cell r="H171" t="str">
            <v/>
          </cell>
        </row>
        <row r="172">
          <cell r="B172"/>
          <cell r="C172"/>
          <cell r="H172" t="str">
            <v/>
          </cell>
        </row>
        <row r="173">
          <cell r="B173"/>
          <cell r="C173"/>
          <cell r="H173" t="str">
            <v/>
          </cell>
        </row>
        <row r="174">
          <cell r="B174"/>
          <cell r="C174"/>
          <cell r="H174" t="str">
            <v/>
          </cell>
        </row>
        <row r="175">
          <cell r="B175"/>
          <cell r="C175"/>
          <cell r="H175" t="str">
            <v/>
          </cell>
        </row>
        <row r="176">
          <cell r="B176"/>
          <cell r="C176"/>
          <cell r="H176" t="str">
            <v/>
          </cell>
        </row>
        <row r="177">
          <cell r="B177"/>
          <cell r="C177"/>
          <cell r="H177" t="str">
            <v/>
          </cell>
        </row>
        <row r="178">
          <cell r="B178"/>
          <cell r="C178"/>
          <cell r="H178" t="str">
            <v/>
          </cell>
        </row>
        <row r="179">
          <cell r="B179"/>
          <cell r="C179"/>
          <cell r="H179" t="str">
            <v/>
          </cell>
        </row>
        <row r="180">
          <cell r="B180"/>
          <cell r="C180"/>
          <cell r="H180" t="str">
            <v/>
          </cell>
        </row>
        <row r="181">
          <cell r="B181"/>
          <cell r="C181"/>
          <cell r="H181" t="str">
            <v/>
          </cell>
        </row>
        <row r="182">
          <cell r="B182"/>
          <cell r="C182"/>
          <cell r="H182" t="str">
            <v/>
          </cell>
        </row>
        <row r="183">
          <cell r="B183"/>
          <cell r="C183"/>
          <cell r="H183" t="str">
            <v/>
          </cell>
        </row>
        <row r="184">
          <cell r="B184"/>
          <cell r="C184"/>
          <cell r="H184" t="str">
            <v/>
          </cell>
        </row>
        <row r="185">
          <cell r="B185"/>
          <cell r="C185"/>
          <cell r="H185" t="str">
            <v/>
          </cell>
        </row>
        <row r="186">
          <cell r="B186"/>
          <cell r="C186"/>
          <cell r="H186" t="str">
            <v/>
          </cell>
        </row>
        <row r="187">
          <cell r="B187"/>
          <cell r="C187"/>
          <cell r="H187" t="str">
            <v/>
          </cell>
        </row>
        <row r="188">
          <cell r="B188"/>
          <cell r="C188"/>
          <cell r="H188" t="str">
            <v/>
          </cell>
        </row>
        <row r="189">
          <cell r="B189"/>
          <cell r="C189"/>
          <cell r="H189" t="str">
            <v/>
          </cell>
        </row>
        <row r="190">
          <cell r="B190"/>
          <cell r="C190"/>
          <cell r="H190" t="str">
            <v/>
          </cell>
        </row>
        <row r="191">
          <cell r="B191"/>
          <cell r="C191"/>
          <cell r="H191" t="str">
            <v/>
          </cell>
        </row>
        <row r="192">
          <cell r="B192"/>
          <cell r="C192"/>
          <cell r="H192" t="str">
            <v/>
          </cell>
        </row>
        <row r="193">
          <cell r="B193"/>
          <cell r="C193"/>
          <cell r="H193" t="str">
            <v/>
          </cell>
        </row>
        <row r="194">
          <cell r="B194"/>
          <cell r="C194"/>
          <cell r="H194" t="str">
            <v/>
          </cell>
        </row>
        <row r="195">
          <cell r="B195"/>
          <cell r="C195"/>
          <cell r="H195" t="str">
            <v/>
          </cell>
        </row>
        <row r="196">
          <cell r="B196"/>
          <cell r="C196"/>
          <cell r="H196" t="str">
            <v/>
          </cell>
        </row>
        <row r="197">
          <cell r="B197"/>
          <cell r="C197"/>
          <cell r="H197" t="str">
            <v/>
          </cell>
        </row>
        <row r="198">
          <cell r="B198"/>
          <cell r="C198"/>
          <cell r="H198" t="str">
            <v/>
          </cell>
        </row>
        <row r="199">
          <cell r="B199"/>
          <cell r="C199"/>
          <cell r="H199" t="str">
            <v/>
          </cell>
        </row>
        <row r="200">
          <cell r="B200"/>
          <cell r="C200"/>
          <cell r="H200" t="str">
            <v/>
          </cell>
        </row>
        <row r="201">
          <cell r="B201"/>
          <cell r="C201"/>
          <cell r="H201" t="str">
            <v/>
          </cell>
        </row>
        <row r="202">
          <cell r="B202"/>
          <cell r="C202"/>
          <cell r="H202" t="str">
            <v/>
          </cell>
        </row>
        <row r="203">
          <cell r="B203"/>
          <cell r="C203"/>
          <cell r="H203" t="str">
            <v/>
          </cell>
        </row>
        <row r="204">
          <cell r="B204"/>
          <cell r="C204"/>
          <cell r="H204" t="str">
            <v/>
          </cell>
        </row>
        <row r="205">
          <cell r="B205"/>
          <cell r="C205"/>
          <cell r="H205" t="str">
            <v/>
          </cell>
        </row>
        <row r="206">
          <cell r="B206"/>
          <cell r="C206"/>
          <cell r="H206" t="str">
            <v/>
          </cell>
        </row>
        <row r="207">
          <cell r="B207"/>
          <cell r="C207"/>
          <cell r="H207" t="str">
            <v/>
          </cell>
        </row>
        <row r="208">
          <cell r="B208"/>
          <cell r="C208"/>
          <cell r="H208" t="str">
            <v/>
          </cell>
        </row>
        <row r="209">
          <cell r="B209"/>
          <cell r="C209"/>
          <cell r="H209" t="str">
            <v/>
          </cell>
        </row>
        <row r="210">
          <cell r="B210"/>
          <cell r="C210"/>
          <cell r="H210" t="str">
            <v/>
          </cell>
        </row>
        <row r="211">
          <cell r="B211"/>
          <cell r="C211"/>
          <cell r="H211" t="str">
            <v/>
          </cell>
        </row>
        <row r="212">
          <cell r="B212"/>
          <cell r="C212"/>
          <cell r="H212" t="str">
            <v/>
          </cell>
        </row>
        <row r="213">
          <cell r="B213"/>
          <cell r="C213"/>
          <cell r="H213" t="str">
            <v/>
          </cell>
        </row>
        <row r="214">
          <cell r="B214"/>
          <cell r="C214"/>
          <cell r="H214" t="str">
            <v/>
          </cell>
        </row>
        <row r="215">
          <cell r="B215"/>
          <cell r="C215"/>
          <cell r="H215" t="str">
            <v/>
          </cell>
        </row>
        <row r="216">
          <cell r="B216"/>
          <cell r="C216"/>
          <cell r="H216" t="str">
            <v/>
          </cell>
        </row>
        <row r="217">
          <cell r="B217"/>
          <cell r="C217"/>
          <cell r="H217" t="str">
            <v/>
          </cell>
        </row>
        <row r="218">
          <cell r="B218"/>
          <cell r="C218"/>
          <cell r="H218" t="str">
            <v/>
          </cell>
        </row>
        <row r="219">
          <cell r="B219"/>
          <cell r="C219"/>
          <cell r="H219" t="str">
            <v/>
          </cell>
        </row>
        <row r="220">
          <cell r="B220"/>
          <cell r="C220"/>
          <cell r="H220" t="str">
            <v/>
          </cell>
        </row>
        <row r="221">
          <cell r="B221"/>
          <cell r="C221"/>
          <cell r="H221" t="str">
            <v/>
          </cell>
        </row>
        <row r="222">
          <cell r="B222"/>
          <cell r="C222"/>
          <cell r="H222" t="str">
            <v/>
          </cell>
        </row>
        <row r="223">
          <cell r="B223"/>
          <cell r="C223"/>
          <cell r="H223" t="str">
            <v/>
          </cell>
        </row>
        <row r="224">
          <cell r="B224"/>
          <cell r="C224"/>
          <cell r="H224" t="str">
            <v/>
          </cell>
        </row>
        <row r="225">
          <cell r="B225"/>
          <cell r="C225"/>
          <cell r="H225" t="str">
            <v/>
          </cell>
        </row>
        <row r="226">
          <cell r="B226"/>
          <cell r="C226"/>
          <cell r="H226" t="str">
            <v/>
          </cell>
        </row>
        <row r="227">
          <cell r="B227"/>
          <cell r="C227"/>
          <cell r="H227" t="str">
            <v/>
          </cell>
        </row>
        <row r="228">
          <cell r="B228"/>
          <cell r="C228"/>
          <cell r="H228" t="str">
            <v/>
          </cell>
        </row>
        <row r="229">
          <cell r="B229"/>
          <cell r="C229"/>
          <cell r="H229" t="str">
            <v/>
          </cell>
        </row>
        <row r="230">
          <cell r="B230"/>
          <cell r="C230"/>
          <cell r="H230" t="str">
            <v/>
          </cell>
        </row>
        <row r="231">
          <cell r="B231"/>
          <cell r="C231"/>
          <cell r="H231" t="str">
            <v/>
          </cell>
        </row>
        <row r="232">
          <cell r="B232"/>
          <cell r="C232"/>
          <cell r="H232" t="str">
            <v/>
          </cell>
        </row>
        <row r="233">
          <cell r="B233"/>
          <cell r="C233"/>
          <cell r="H233" t="str">
            <v/>
          </cell>
        </row>
        <row r="234">
          <cell r="B234"/>
          <cell r="C234"/>
          <cell r="H234" t="str">
            <v/>
          </cell>
        </row>
        <row r="235">
          <cell r="B235"/>
          <cell r="C235"/>
          <cell r="H235" t="str">
            <v/>
          </cell>
        </row>
        <row r="236">
          <cell r="B236"/>
          <cell r="C236"/>
          <cell r="H236" t="str">
            <v/>
          </cell>
        </row>
        <row r="237">
          <cell r="B237"/>
          <cell r="C237"/>
          <cell r="H237" t="str">
            <v/>
          </cell>
        </row>
        <row r="238">
          <cell r="B238"/>
          <cell r="C238"/>
          <cell r="H238" t="str">
            <v/>
          </cell>
        </row>
        <row r="239">
          <cell r="B239"/>
          <cell r="C239"/>
          <cell r="H239" t="str">
            <v/>
          </cell>
        </row>
        <row r="240">
          <cell r="B240"/>
          <cell r="C240"/>
          <cell r="H240" t="str">
            <v/>
          </cell>
        </row>
        <row r="241">
          <cell r="B241"/>
          <cell r="C241"/>
          <cell r="H241" t="str">
            <v/>
          </cell>
        </row>
        <row r="242">
          <cell r="B242"/>
          <cell r="C242"/>
          <cell r="H242" t="str">
            <v/>
          </cell>
        </row>
        <row r="243">
          <cell r="B243"/>
          <cell r="C243"/>
          <cell r="H243" t="str">
            <v/>
          </cell>
        </row>
        <row r="244">
          <cell r="B244"/>
          <cell r="C244"/>
          <cell r="H244" t="str">
            <v/>
          </cell>
        </row>
        <row r="245">
          <cell r="B245"/>
          <cell r="C245"/>
          <cell r="H245" t="str">
            <v/>
          </cell>
        </row>
        <row r="246">
          <cell r="B246"/>
          <cell r="C246"/>
          <cell r="H246" t="str">
            <v/>
          </cell>
        </row>
        <row r="247">
          <cell r="B247"/>
          <cell r="C247"/>
          <cell r="H247" t="str">
            <v/>
          </cell>
        </row>
        <row r="248">
          <cell r="B248"/>
          <cell r="C248"/>
          <cell r="H248" t="str">
            <v/>
          </cell>
        </row>
        <row r="249">
          <cell r="B249"/>
          <cell r="C249"/>
          <cell r="H249" t="str">
            <v/>
          </cell>
        </row>
        <row r="250">
          <cell r="B250"/>
          <cell r="C250"/>
          <cell r="H250" t="str">
            <v/>
          </cell>
        </row>
        <row r="251">
          <cell r="B251"/>
          <cell r="C251"/>
          <cell r="H251" t="str">
            <v/>
          </cell>
        </row>
        <row r="252">
          <cell r="B252"/>
          <cell r="C252"/>
          <cell r="H252" t="str">
            <v/>
          </cell>
        </row>
        <row r="253">
          <cell r="B253"/>
          <cell r="C253"/>
          <cell r="H253" t="str">
            <v/>
          </cell>
        </row>
        <row r="254">
          <cell r="B254"/>
          <cell r="C254"/>
          <cell r="H254" t="str">
            <v/>
          </cell>
        </row>
        <row r="255">
          <cell r="B255"/>
          <cell r="C255"/>
          <cell r="H255" t="str">
            <v/>
          </cell>
        </row>
        <row r="256">
          <cell r="B256"/>
          <cell r="C256"/>
          <cell r="H256" t="str">
            <v/>
          </cell>
        </row>
        <row r="257">
          <cell r="B257"/>
          <cell r="C257"/>
          <cell r="H257" t="str">
            <v/>
          </cell>
        </row>
        <row r="258">
          <cell r="B258"/>
          <cell r="C258"/>
          <cell r="H258" t="str">
            <v/>
          </cell>
        </row>
        <row r="259">
          <cell r="B259"/>
          <cell r="C259"/>
          <cell r="H259" t="str">
            <v/>
          </cell>
        </row>
        <row r="260">
          <cell r="B260"/>
          <cell r="C260"/>
          <cell r="H260" t="str">
            <v/>
          </cell>
        </row>
        <row r="261">
          <cell r="B261"/>
          <cell r="C261"/>
          <cell r="H261" t="str">
            <v/>
          </cell>
        </row>
        <row r="262">
          <cell r="B262"/>
          <cell r="C262"/>
          <cell r="H262" t="str">
            <v/>
          </cell>
        </row>
        <row r="263">
          <cell r="B263"/>
          <cell r="C263"/>
          <cell r="H263" t="str">
            <v/>
          </cell>
        </row>
        <row r="264">
          <cell r="B264"/>
          <cell r="C264"/>
          <cell r="H264" t="str">
            <v/>
          </cell>
        </row>
        <row r="265">
          <cell r="B265"/>
          <cell r="C265"/>
          <cell r="H265" t="str">
            <v/>
          </cell>
        </row>
        <row r="266">
          <cell r="B266"/>
          <cell r="C266"/>
          <cell r="H266" t="str">
            <v/>
          </cell>
        </row>
        <row r="267">
          <cell r="B267"/>
          <cell r="C267"/>
          <cell r="H267" t="str">
            <v/>
          </cell>
        </row>
        <row r="268">
          <cell r="B268"/>
          <cell r="C268"/>
          <cell r="H268" t="str">
            <v/>
          </cell>
        </row>
        <row r="269">
          <cell r="B269"/>
          <cell r="C269"/>
          <cell r="H269" t="str">
            <v/>
          </cell>
        </row>
        <row r="270">
          <cell r="B270"/>
          <cell r="C270"/>
          <cell r="H270" t="str">
            <v/>
          </cell>
        </row>
        <row r="271">
          <cell r="B271"/>
          <cell r="C271"/>
          <cell r="H271" t="str">
            <v/>
          </cell>
        </row>
        <row r="272">
          <cell r="B272"/>
          <cell r="C272"/>
          <cell r="H272" t="str">
            <v/>
          </cell>
        </row>
        <row r="273">
          <cell r="B273"/>
          <cell r="C273"/>
          <cell r="H273" t="str">
            <v/>
          </cell>
        </row>
        <row r="274">
          <cell r="B274"/>
          <cell r="C274"/>
          <cell r="H274" t="str">
            <v/>
          </cell>
        </row>
        <row r="275">
          <cell r="B275"/>
          <cell r="C275"/>
          <cell r="H275" t="str">
            <v/>
          </cell>
        </row>
        <row r="276">
          <cell r="B276"/>
          <cell r="C276"/>
          <cell r="H276" t="str">
            <v/>
          </cell>
        </row>
        <row r="277">
          <cell r="B277"/>
          <cell r="C277"/>
          <cell r="H277" t="str">
            <v/>
          </cell>
        </row>
        <row r="278">
          <cell r="B278"/>
          <cell r="C278"/>
          <cell r="H278" t="str">
            <v/>
          </cell>
        </row>
        <row r="279">
          <cell r="B279"/>
          <cell r="C279"/>
          <cell r="H279" t="str">
            <v/>
          </cell>
        </row>
        <row r="280">
          <cell r="B280"/>
          <cell r="C280"/>
          <cell r="H280" t="str">
            <v/>
          </cell>
        </row>
        <row r="281">
          <cell r="B281"/>
          <cell r="C281"/>
          <cell r="H281" t="str">
            <v/>
          </cell>
        </row>
        <row r="282">
          <cell r="B282"/>
          <cell r="C282"/>
          <cell r="H282" t="str">
            <v/>
          </cell>
        </row>
        <row r="283">
          <cell r="B283"/>
          <cell r="C283"/>
          <cell r="H283" t="str">
            <v/>
          </cell>
        </row>
        <row r="284">
          <cell r="B284"/>
          <cell r="C284"/>
          <cell r="H284" t="str">
            <v/>
          </cell>
        </row>
        <row r="285">
          <cell r="B285"/>
          <cell r="C285"/>
          <cell r="H285" t="str">
            <v/>
          </cell>
        </row>
        <row r="286">
          <cell r="B286"/>
          <cell r="C286"/>
          <cell r="H286" t="str">
            <v/>
          </cell>
        </row>
        <row r="287">
          <cell r="B287"/>
          <cell r="C287"/>
          <cell r="H287" t="str">
            <v/>
          </cell>
        </row>
        <row r="288">
          <cell r="B288"/>
          <cell r="C288"/>
          <cell r="H288" t="str">
            <v/>
          </cell>
        </row>
        <row r="289">
          <cell r="B289"/>
          <cell r="C289"/>
          <cell r="H289" t="str">
            <v/>
          </cell>
        </row>
        <row r="290">
          <cell r="B290"/>
          <cell r="C290"/>
          <cell r="H290" t="str">
            <v/>
          </cell>
        </row>
        <row r="291">
          <cell r="B291"/>
          <cell r="C291"/>
          <cell r="H291" t="str">
            <v/>
          </cell>
        </row>
        <row r="292">
          <cell r="B292"/>
          <cell r="C292"/>
          <cell r="H292" t="str">
            <v/>
          </cell>
        </row>
        <row r="293">
          <cell r="B293"/>
          <cell r="C293"/>
          <cell r="H293" t="str">
            <v/>
          </cell>
        </row>
        <row r="294">
          <cell r="B294"/>
          <cell r="C294"/>
          <cell r="H294" t="str">
            <v/>
          </cell>
        </row>
        <row r="295">
          <cell r="B295"/>
          <cell r="C295"/>
          <cell r="H295" t="str">
            <v/>
          </cell>
        </row>
        <row r="296">
          <cell r="B296"/>
          <cell r="C296"/>
          <cell r="H296" t="str">
            <v/>
          </cell>
        </row>
        <row r="297">
          <cell r="B297"/>
          <cell r="C297"/>
          <cell r="H297" t="str">
            <v/>
          </cell>
        </row>
        <row r="298">
          <cell r="B298"/>
          <cell r="C298"/>
          <cell r="H298" t="str">
            <v/>
          </cell>
        </row>
        <row r="299">
          <cell r="B299"/>
          <cell r="C299"/>
          <cell r="H299" t="str">
            <v/>
          </cell>
        </row>
        <row r="300">
          <cell r="B300"/>
          <cell r="C300"/>
          <cell r="H300" t="str">
            <v/>
          </cell>
        </row>
        <row r="301">
          <cell r="B301"/>
          <cell r="C301"/>
          <cell r="H301" t="str">
            <v/>
          </cell>
        </row>
        <row r="302">
          <cell r="B302"/>
          <cell r="C302"/>
          <cell r="H302" t="str">
            <v/>
          </cell>
        </row>
        <row r="303">
          <cell r="B303"/>
          <cell r="C303"/>
          <cell r="H303" t="str">
            <v/>
          </cell>
        </row>
        <row r="304">
          <cell r="B304"/>
          <cell r="C304"/>
          <cell r="H304" t="str">
            <v/>
          </cell>
        </row>
        <row r="305">
          <cell r="B305"/>
          <cell r="C305"/>
          <cell r="H305" t="str">
            <v/>
          </cell>
        </row>
        <row r="306">
          <cell r="B306"/>
          <cell r="C306"/>
          <cell r="H306" t="str">
            <v/>
          </cell>
        </row>
        <row r="307">
          <cell r="B307"/>
          <cell r="C307"/>
          <cell r="H307" t="str">
            <v/>
          </cell>
        </row>
        <row r="308">
          <cell r="B308"/>
          <cell r="C308"/>
          <cell r="H308" t="str">
            <v/>
          </cell>
        </row>
        <row r="309">
          <cell r="B309"/>
          <cell r="C309"/>
          <cell r="H309" t="str">
            <v/>
          </cell>
        </row>
        <row r="310">
          <cell r="B310"/>
          <cell r="C310"/>
          <cell r="H310" t="str">
            <v/>
          </cell>
        </row>
        <row r="311">
          <cell r="B311"/>
          <cell r="C311"/>
          <cell r="H311" t="str">
            <v/>
          </cell>
        </row>
        <row r="312">
          <cell r="B312"/>
          <cell r="C312"/>
          <cell r="H312" t="str">
            <v/>
          </cell>
        </row>
        <row r="313">
          <cell r="B313"/>
          <cell r="C313"/>
          <cell r="H313" t="str">
            <v/>
          </cell>
        </row>
        <row r="314">
          <cell r="B314"/>
          <cell r="C314"/>
          <cell r="H314" t="str">
            <v/>
          </cell>
        </row>
        <row r="315">
          <cell r="B315"/>
          <cell r="C315"/>
          <cell r="H315" t="str">
            <v/>
          </cell>
        </row>
        <row r="316">
          <cell r="B316"/>
          <cell r="C316"/>
          <cell r="H316" t="str">
            <v/>
          </cell>
        </row>
        <row r="317">
          <cell r="B317"/>
          <cell r="C317"/>
          <cell r="H317" t="str">
            <v/>
          </cell>
        </row>
        <row r="318">
          <cell r="B318"/>
          <cell r="C318"/>
          <cell r="H318" t="str">
            <v/>
          </cell>
        </row>
        <row r="319">
          <cell r="B319"/>
          <cell r="C319"/>
          <cell r="H319" t="str">
            <v/>
          </cell>
        </row>
        <row r="320">
          <cell r="B320"/>
          <cell r="C320"/>
          <cell r="H320" t="str">
            <v/>
          </cell>
        </row>
        <row r="321">
          <cell r="B321"/>
          <cell r="C321"/>
          <cell r="H321" t="str">
            <v/>
          </cell>
        </row>
        <row r="322">
          <cell r="B322"/>
          <cell r="C322"/>
          <cell r="H322" t="str">
            <v/>
          </cell>
        </row>
        <row r="323">
          <cell r="B323"/>
          <cell r="C323"/>
          <cell r="H323" t="str">
            <v/>
          </cell>
        </row>
        <row r="324">
          <cell r="B324"/>
          <cell r="C324"/>
          <cell r="H324" t="str">
            <v/>
          </cell>
        </row>
        <row r="325">
          <cell r="B325"/>
          <cell r="C325"/>
          <cell r="H325" t="str">
            <v/>
          </cell>
        </row>
        <row r="326">
          <cell r="B326"/>
          <cell r="C326"/>
          <cell r="H326" t="str">
            <v/>
          </cell>
        </row>
        <row r="327">
          <cell r="B327"/>
          <cell r="C327"/>
          <cell r="H327" t="str">
            <v/>
          </cell>
        </row>
        <row r="328">
          <cell r="B328"/>
          <cell r="C328"/>
          <cell r="H328" t="str">
            <v/>
          </cell>
        </row>
        <row r="329">
          <cell r="B329"/>
          <cell r="C329"/>
          <cell r="H329" t="str">
            <v/>
          </cell>
        </row>
        <row r="330">
          <cell r="B330"/>
          <cell r="C330"/>
          <cell r="H330" t="str">
            <v/>
          </cell>
        </row>
        <row r="331">
          <cell r="B331"/>
          <cell r="C331"/>
          <cell r="H331" t="str">
            <v/>
          </cell>
        </row>
        <row r="332">
          <cell r="B332"/>
          <cell r="C332"/>
          <cell r="H332" t="str">
            <v/>
          </cell>
        </row>
        <row r="333">
          <cell r="B333"/>
          <cell r="C333"/>
          <cell r="H333" t="str">
            <v/>
          </cell>
        </row>
        <row r="334">
          <cell r="B334"/>
          <cell r="C334"/>
          <cell r="H334" t="str">
            <v/>
          </cell>
        </row>
        <row r="335">
          <cell r="B335"/>
          <cell r="C335"/>
          <cell r="H335" t="str">
            <v/>
          </cell>
        </row>
        <row r="336">
          <cell r="B336"/>
          <cell r="C336"/>
          <cell r="H336" t="str">
            <v/>
          </cell>
        </row>
        <row r="337">
          <cell r="B337"/>
          <cell r="C337"/>
          <cell r="H337" t="str">
            <v/>
          </cell>
        </row>
        <row r="338">
          <cell r="B338"/>
          <cell r="C338"/>
          <cell r="H338" t="str">
            <v/>
          </cell>
        </row>
        <row r="339">
          <cell r="B339"/>
          <cell r="C339"/>
          <cell r="H339" t="str">
            <v/>
          </cell>
        </row>
        <row r="340">
          <cell r="B340"/>
          <cell r="C340"/>
          <cell r="H340" t="str">
            <v/>
          </cell>
        </row>
        <row r="341">
          <cell r="B341"/>
          <cell r="C341"/>
          <cell r="H341" t="str">
            <v/>
          </cell>
        </row>
        <row r="342">
          <cell r="B342"/>
          <cell r="C342"/>
          <cell r="H342" t="str">
            <v/>
          </cell>
        </row>
        <row r="343">
          <cell r="B343"/>
          <cell r="C343"/>
          <cell r="H343" t="str">
            <v/>
          </cell>
        </row>
        <row r="344">
          <cell r="B344"/>
          <cell r="C344"/>
          <cell r="H344" t="str">
            <v/>
          </cell>
        </row>
        <row r="345">
          <cell r="B345"/>
          <cell r="C345"/>
          <cell r="H345" t="str">
            <v/>
          </cell>
        </row>
        <row r="346">
          <cell r="B346"/>
          <cell r="C346"/>
          <cell r="H346" t="str">
            <v/>
          </cell>
        </row>
        <row r="347">
          <cell r="B347"/>
          <cell r="C347"/>
          <cell r="H347" t="str">
            <v/>
          </cell>
        </row>
        <row r="348">
          <cell r="B348"/>
          <cell r="C348"/>
          <cell r="H348" t="str">
            <v/>
          </cell>
        </row>
        <row r="349">
          <cell r="B349"/>
          <cell r="C349"/>
          <cell r="H349" t="str">
            <v/>
          </cell>
        </row>
        <row r="350">
          <cell r="B350"/>
          <cell r="C350"/>
          <cell r="H350" t="str">
            <v/>
          </cell>
        </row>
        <row r="351">
          <cell r="B351"/>
          <cell r="C351"/>
          <cell r="H351" t="str">
            <v/>
          </cell>
        </row>
        <row r="352">
          <cell r="B352"/>
          <cell r="C352"/>
          <cell r="H352" t="str">
            <v/>
          </cell>
        </row>
        <row r="353">
          <cell r="B353"/>
          <cell r="C353"/>
          <cell r="H353" t="str">
            <v/>
          </cell>
        </row>
        <row r="354">
          <cell r="B354"/>
          <cell r="C354"/>
          <cell r="H354" t="str">
            <v/>
          </cell>
        </row>
        <row r="355">
          <cell r="B355"/>
          <cell r="C355"/>
          <cell r="H355" t="str">
            <v/>
          </cell>
        </row>
        <row r="356">
          <cell r="B356"/>
          <cell r="C356"/>
          <cell r="H356" t="str">
            <v/>
          </cell>
        </row>
        <row r="357">
          <cell r="B357"/>
          <cell r="C357"/>
          <cell r="H357" t="str">
            <v/>
          </cell>
        </row>
        <row r="358">
          <cell r="B358"/>
          <cell r="C358"/>
          <cell r="H358" t="str">
            <v/>
          </cell>
        </row>
        <row r="359">
          <cell r="B359"/>
          <cell r="C359"/>
          <cell r="H359" t="str">
            <v/>
          </cell>
        </row>
        <row r="360">
          <cell r="B360"/>
          <cell r="C360"/>
          <cell r="H360" t="str">
            <v/>
          </cell>
        </row>
        <row r="361">
          <cell r="B361"/>
          <cell r="C361"/>
          <cell r="H361" t="str">
            <v/>
          </cell>
        </row>
        <row r="362">
          <cell r="B362"/>
          <cell r="C362"/>
          <cell r="H362" t="str">
            <v/>
          </cell>
        </row>
        <row r="363">
          <cell r="B363"/>
          <cell r="C363"/>
          <cell r="H363" t="str">
            <v/>
          </cell>
        </row>
        <row r="364">
          <cell r="B364"/>
          <cell r="C364"/>
          <cell r="H364" t="str">
            <v/>
          </cell>
        </row>
        <row r="365">
          <cell r="B365"/>
          <cell r="C365"/>
          <cell r="H365" t="str">
            <v/>
          </cell>
        </row>
        <row r="366">
          <cell r="B366"/>
          <cell r="C366"/>
          <cell r="H366" t="str">
            <v/>
          </cell>
        </row>
        <row r="367">
          <cell r="B367"/>
          <cell r="C367"/>
          <cell r="H367" t="str">
            <v/>
          </cell>
        </row>
        <row r="368">
          <cell r="B368"/>
          <cell r="C368"/>
          <cell r="H368" t="str">
            <v/>
          </cell>
        </row>
        <row r="369">
          <cell r="B369"/>
          <cell r="C369"/>
          <cell r="H369" t="str">
            <v/>
          </cell>
        </row>
        <row r="370">
          <cell r="B370"/>
          <cell r="C370"/>
          <cell r="H370" t="str">
            <v/>
          </cell>
        </row>
        <row r="371">
          <cell r="B371"/>
          <cell r="C371"/>
          <cell r="H371" t="str">
            <v/>
          </cell>
        </row>
        <row r="372">
          <cell r="B372"/>
          <cell r="C372"/>
          <cell r="H372" t="str">
            <v/>
          </cell>
        </row>
        <row r="373">
          <cell r="B373"/>
          <cell r="C373"/>
          <cell r="H373" t="str">
            <v/>
          </cell>
        </row>
        <row r="374">
          <cell r="B374"/>
          <cell r="C374"/>
          <cell r="H374" t="str">
            <v/>
          </cell>
        </row>
        <row r="375">
          <cell r="B375"/>
          <cell r="C375"/>
          <cell r="H375" t="str">
            <v/>
          </cell>
        </row>
        <row r="376">
          <cell r="B376"/>
          <cell r="C376"/>
          <cell r="H376" t="str">
            <v/>
          </cell>
        </row>
        <row r="377">
          <cell r="B377"/>
          <cell r="C377"/>
          <cell r="H377" t="str">
            <v/>
          </cell>
        </row>
        <row r="378">
          <cell r="B378"/>
          <cell r="C378"/>
          <cell r="H378" t="str">
            <v/>
          </cell>
        </row>
        <row r="379">
          <cell r="B379"/>
          <cell r="C379"/>
          <cell r="H379" t="str">
            <v/>
          </cell>
        </row>
        <row r="380">
          <cell r="B380"/>
          <cell r="C380"/>
          <cell r="H380" t="str">
            <v/>
          </cell>
        </row>
        <row r="381">
          <cell r="B381"/>
          <cell r="C381"/>
          <cell r="H381" t="str">
            <v/>
          </cell>
        </row>
        <row r="382">
          <cell r="B382"/>
          <cell r="C382"/>
          <cell r="H382" t="str">
            <v/>
          </cell>
        </row>
        <row r="383">
          <cell r="B383"/>
          <cell r="C383"/>
          <cell r="H383" t="str">
            <v/>
          </cell>
        </row>
        <row r="384">
          <cell r="B384"/>
          <cell r="C384"/>
          <cell r="H384" t="str">
            <v/>
          </cell>
        </row>
        <row r="385">
          <cell r="B385"/>
          <cell r="C385"/>
          <cell r="H385" t="str">
            <v/>
          </cell>
        </row>
        <row r="386">
          <cell r="B386"/>
          <cell r="C386"/>
          <cell r="H386" t="str">
            <v/>
          </cell>
        </row>
        <row r="387">
          <cell r="B387"/>
          <cell r="C387"/>
          <cell r="H387" t="str">
            <v/>
          </cell>
        </row>
        <row r="388">
          <cell r="B388"/>
          <cell r="C388"/>
          <cell r="H388" t="str">
            <v/>
          </cell>
        </row>
        <row r="389">
          <cell r="B389"/>
          <cell r="C389"/>
          <cell r="H389" t="str">
            <v/>
          </cell>
        </row>
        <row r="390">
          <cell r="B390"/>
          <cell r="C390"/>
          <cell r="H390" t="str">
            <v/>
          </cell>
        </row>
        <row r="391">
          <cell r="B391"/>
          <cell r="C391"/>
          <cell r="H391" t="str">
            <v/>
          </cell>
        </row>
        <row r="392">
          <cell r="B392"/>
          <cell r="C392"/>
          <cell r="H392" t="str">
            <v/>
          </cell>
        </row>
        <row r="393">
          <cell r="B393"/>
          <cell r="C393"/>
          <cell r="H393" t="str">
            <v/>
          </cell>
        </row>
        <row r="394">
          <cell r="B394"/>
          <cell r="C394"/>
          <cell r="H394" t="str">
            <v/>
          </cell>
        </row>
        <row r="395">
          <cell r="B395"/>
          <cell r="C395"/>
          <cell r="H395" t="str">
            <v/>
          </cell>
        </row>
        <row r="396">
          <cell r="B396"/>
          <cell r="C396"/>
          <cell r="H396" t="str">
            <v/>
          </cell>
        </row>
        <row r="397">
          <cell r="B397"/>
          <cell r="C397"/>
          <cell r="H397" t="str">
            <v/>
          </cell>
        </row>
        <row r="398">
          <cell r="B398"/>
          <cell r="C398"/>
          <cell r="H398" t="str">
            <v/>
          </cell>
        </row>
        <row r="399">
          <cell r="B399"/>
          <cell r="C399"/>
          <cell r="H399" t="str">
            <v/>
          </cell>
        </row>
        <row r="400">
          <cell r="B400"/>
          <cell r="C400"/>
          <cell r="H400" t="str">
            <v/>
          </cell>
        </row>
        <row r="401">
          <cell r="B401"/>
          <cell r="C401"/>
          <cell r="H401" t="str">
            <v/>
          </cell>
        </row>
        <row r="402">
          <cell r="B402"/>
          <cell r="C402"/>
          <cell r="H402" t="str">
            <v/>
          </cell>
        </row>
        <row r="403">
          <cell r="B403"/>
          <cell r="C403"/>
          <cell r="H403" t="str">
            <v/>
          </cell>
        </row>
        <row r="404">
          <cell r="B404"/>
          <cell r="C404"/>
          <cell r="H404" t="str">
            <v/>
          </cell>
        </row>
        <row r="405">
          <cell r="B405"/>
          <cell r="C405"/>
          <cell r="H405" t="str">
            <v/>
          </cell>
        </row>
        <row r="406">
          <cell r="B406"/>
          <cell r="C406"/>
          <cell r="H406" t="str">
            <v/>
          </cell>
        </row>
        <row r="407">
          <cell r="B407"/>
          <cell r="C407"/>
          <cell r="H407" t="str">
            <v/>
          </cell>
        </row>
        <row r="408">
          <cell r="B408"/>
          <cell r="C408"/>
          <cell r="H408" t="str">
            <v/>
          </cell>
        </row>
        <row r="409">
          <cell r="B409"/>
          <cell r="C409"/>
          <cell r="H409" t="str">
            <v/>
          </cell>
        </row>
        <row r="410">
          <cell r="B410"/>
          <cell r="C410"/>
          <cell r="H410" t="str">
            <v/>
          </cell>
        </row>
        <row r="411">
          <cell r="B411"/>
          <cell r="C411"/>
          <cell r="H411" t="str">
            <v/>
          </cell>
        </row>
        <row r="412">
          <cell r="B412"/>
          <cell r="C412"/>
          <cell r="H412" t="str">
            <v/>
          </cell>
        </row>
        <row r="413">
          <cell r="B413"/>
          <cell r="C413"/>
          <cell r="H413" t="str">
            <v/>
          </cell>
        </row>
        <row r="414">
          <cell r="B414"/>
          <cell r="C414"/>
          <cell r="H414" t="str">
            <v/>
          </cell>
        </row>
        <row r="415">
          <cell r="B415"/>
          <cell r="C415"/>
          <cell r="H415" t="str">
            <v/>
          </cell>
        </row>
        <row r="416">
          <cell r="B416"/>
          <cell r="C416"/>
          <cell r="H416" t="str">
            <v/>
          </cell>
        </row>
        <row r="417">
          <cell r="B417"/>
          <cell r="C417"/>
          <cell r="H417" t="str">
            <v/>
          </cell>
        </row>
        <row r="418">
          <cell r="B418"/>
          <cell r="C418"/>
          <cell r="H418" t="str">
            <v/>
          </cell>
        </row>
        <row r="419">
          <cell r="B419"/>
          <cell r="C419"/>
          <cell r="H419" t="str">
            <v/>
          </cell>
        </row>
        <row r="420">
          <cell r="B420"/>
          <cell r="C420"/>
          <cell r="H420" t="str">
            <v/>
          </cell>
        </row>
        <row r="421">
          <cell r="B421"/>
          <cell r="C421"/>
          <cell r="H421" t="str">
            <v/>
          </cell>
        </row>
        <row r="422">
          <cell r="B422"/>
          <cell r="C422"/>
          <cell r="H422" t="str">
            <v/>
          </cell>
        </row>
        <row r="423">
          <cell r="B423"/>
          <cell r="C423"/>
          <cell r="H423" t="str">
            <v/>
          </cell>
        </row>
        <row r="424">
          <cell r="B424"/>
          <cell r="C424"/>
          <cell r="H424" t="str">
            <v/>
          </cell>
        </row>
        <row r="425">
          <cell r="B425"/>
          <cell r="C425"/>
          <cell r="H425" t="str">
            <v/>
          </cell>
        </row>
        <row r="426">
          <cell r="B426"/>
          <cell r="C426"/>
          <cell r="H426" t="str">
            <v/>
          </cell>
        </row>
        <row r="427">
          <cell r="B427"/>
          <cell r="C427"/>
          <cell r="H427" t="str">
            <v/>
          </cell>
        </row>
        <row r="428">
          <cell r="B428"/>
          <cell r="C428"/>
          <cell r="H428" t="str">
            <v/>
          </cell>
        </row>
        <row r="429">
          <cell r="B429"/>
          <cell r="C429"/>
          <cell r="H429" t="str">
            <v/>
          </cell>
        </row>
        <row r="430">
          <cell r="B430"/>
          <cell r="C430"/>
          <cell r="H430" t="str">
            <v/>
          </cell>
        </row>
        <row r="431">
          <cell r="B431"/>
          <cell r="C431"/>
          <cell r="H431" t="str">
            <v/>
          </cell>
        </row>
        <row r="432">
          <cell r="B432"/>
          <cell r="C432"/>
          <cell r="H432" t="str">
            <v/>
          </cell>
        </row>
        <row r="433">
          <cell r="B433"/>
          <cell r="C433"/>
          <cell r="H433" t="str">
            <v/>
          </cell>
        </row>
        <row r="434">
          <cell r="B434"/>
          <cell r="C434"/>
          <cell r="H434" t="str">
            <v/>
          </cell>
        </row>
        <row r="435">
          <cell r="B435"/>
          <cell r="C435"/>
          <cell r="H435" t="str">
            <v/>
          </cell>
        </row>
        <row r="436">
          <cell r="B436"/>
          <cell r="C436"/>
          <cell r="H436" t="str">
            <v/>
          </cell>
        </row>
        <row r="437">
          <cell r="B437"/>
          <cell r="C437"/>
          <cell r="H437" t="str">
            <v/>
          </cell>
        </row>
        <row r="438">
          <cell r="B438"/>
          <cell r="C438"/>
          <cell r="H438" t="str">
            <v/>
          </cell>
        </row>
        <row r="439">
          <cell r="B439"/>
          <cell r="C439"/>
          <cell r="H439" t="str">
            <v/>
          </cell>
        </row>
        <row r="440">
          <cell r="B440"/>
          <cell r="C440"/>
          <cell r="H440" t="str">
            <v/>
          </cell>
        </row>
        <row r="441">
          <cell r="B441"/>
          <cell r="C441"/>
          <cell r="H441" t="str">
            <v/>
          </cell>
        </row>
        <row r="442">
          <cell r="B442"/>
          <cell r="C442"/>
          <cell r="H442" t="str">
            <v/>
          </cell>
        </row>
        <row r="443">
          <cell r="B443"/>
          <cell r="C443"/>
          <cell r="H443" t="str">
            <v/>
          </cell>
        </row>
        <row r="444">
          <cell r="B444"/>
          <cell r="C444"/>
          <cell r="H444" t="str">
            <v/>
          </cell>
        </row>
        <row r="445">
          <cell r="B445"/>
          <cell r="C445"/>
          <cell r="H445" t="str">
            <v/>
          </cell>
        </row>
        <row r="446">
          <cell r="B446"/>
          <cell r="C446"/>
          <cell r="H446" t="str">
            <v/>
          </cell>
        </row>
        <row r="447">
          <cell r="B447"/>
          <cell r="C447"/>
          <cell r="H447" t="str">
            <v/>
          </cell>
        </row>
        <row r="448">
          <cell r="B448"/>
          <cell r="C448"/>
          <cell r="H448" t="str">
            <v/>
          </cell>
        </row>
        <row r="449">
          <cell r="B449"/>
          <cell r="C449"/>
          <cell r="H449" t="str">
            <v/>
          </cell>
        </row>
        <row r="450">
          <cell r="B450"/>
          <cell r="C450"/>
          <cell r="H450" t="str">
            <v/>
          </cell>
        </row>
        <row r="451">
          <cell r="B451"/>
          <cell r="C451"/>
          <cell r="H451" t="str">
            <v/>
          </cell>
        </row>
        <row r="452">
          <cell r="B452"/>
          <cell r="C452"/>
          <cell r="H452" t="str">
            <v/>
          </cell>
        </row>
        <row r="453">
          <cell r="B453"/>
          <cell r="C453"/>
          <cell r="H453" t="str">
            <v/>
          </cell>
        </row>
        <row r="454">
          <cell r="B454"/>
          <cell r="C454"/>
          <cell r="H454" t="str">
            <v/>
          </cell>
        </row>
        <row r="455">
          <cell r="B455"/>
          <cell r="C455"/>
          <cell r="H455" t="str">
            <v/>
          </cell>
        </row>
        <row r="456">
          <cell r="B456"/>
          <cell r="C456"/>
          <cell r="H456" t="str">
            <v/>
          </cell>
        </row>
        <row r="457">
          <cell r="B457"/>
          <cell r="C457"/>
          <cell r="H457" t="str">
            <v/>
          </cell>
        </row>
        <row r="458">
          <cell r="B458"/>
          <cell r="C458"/>
          <cell r="H458" t="str">
            <v/>
          </cell>
        </row>
        <row r="459">
          <cell r="B459"/>
          <cell r="C459"/>
          <cell r="H459" t="str">
            <v/>
          </cell>
        </row>
        <row r="460">
          <cell r="B460"/>
          <cell r="C460"/>
          <cell r="H460" t="str">
            <v/>
          </cell>
        </row>
        <row r="461">
          <cell r="B461"/>
          <cell r="C461"/>
          <cell r="H461" t="str">
            <v/>
          </cell>
        </row>
        <row r="462">
          <cell r="B462"/>
          <cell r="C462"/>
          <cell r="H462" t="str">
            <v/>
          </cell>
        </row>
        <row r="463">
          <cell r="B463"/>
          <cell r="C463"/>
          <cell r="H463" t="str">
            <v/>
          </cell>
        </row>
        <row r="464">
          <cell r="B464"/>
          <cell r="C464"/>
          <cell r="H464" t="str">
            <v/>
          </cell>
        </row>
        <row r="465">
          <cell r="B465"/>
          <cell r="C465"/>
          <cell r="H465" t="str">
            <v/>
          </cell>
        </row>
        <row r="466">
          <cell r="B466"/>
          <cell r="C466"/>
          <cell r="H466" t="str">
            <v/>
          </cell>
        </row>
        <row r="467">
          <cell r="B467"/>
          <cell r="C467"/>
          <cell r="H467" t="str">
            <v/>
          </cell>
        </row>
        <row r="468">
          <cell r="B468"/>
          <cell r="C468"/>
          <cell r="H468" t="str">
            <v/>
          </cell>
        </row>
        <row r="469">
          <cell r="B469"/>
          <cell r="C469"/>
          <cell r="H469" t="str">
            <v/>
          </cell>
        </row>
        <row r="470">
          <cell r="B470"/>
          <cell r="C470"/>
          <cell r="H470" t="str">
            <v/>
          </cell>
        </row>
        <row r="471">
          <cell r="B471"/>
          <cell r="C471"/>
          <cell r="H471" t="str">
            <v/>
          </cell>
        </row>
        <row r="472">
          <cell r="B472"/>
          <cell r="C472"/>
          <cell r="H472" t="str">
            <v/>
          </cell>
        </row>
        <row r="473">
          <cell r="B473"/>
          <cell r="C473"/>
          <cell r="H473" t="str">
            <v/>
          </cell>
        </row>
        <row r="474">
          <cell r="B474"/>
          <cell r="C474"/>
          <cell r="H474" t="str">
            <v/>
          </cell>
        </row>
        <row r="475">
          <cell r="B475"/>
          <cell r="C475"/>
          <cell r="H475" t="str">
            <v/>
          </cell>
        </row>
        <row r="476">
          <cell r="B476"/>
          <cell r="C476"/>
          <cell r="H476" t="str">
            <v/>
          </cell>
        </row>
        <row r="477">
          <cell r="B477"/>
          <cell r="C477"/>
          <cell r="H477" t="str">
            <v/>
          </cell>
        </row>
        <row r="478">
          <cell r="B478"/>
          <cell r="C478"/>
          <cell r="H478" t="str">
            <v/>
          </cell>
        </row>
        <row r="479">
          <cell r="B479"/>
          <cell r="C479"/>
          <cell r="H479" t="str">
            <v/>
          </cell>
        </row>
        <row r="480">
          <cell r="B480"/>
          <cell r="C480"/>
          <cell r="H480" t="str">
            <v/>
          </cell>
        </row>
        <row r="481">
          <cell r="B481"/>
          <cell r="C481"/>
          <cell r="H481" t="str">
            <v/>
          </cell>
        </row>
        <row r="482">
          <cell r="B482"/>
          <cell r="C482"/>
          <cell r="H482" t="str">
            <v/>
          </cell>
        </row>
        <row r="483">
          <cell r="B483"/>
          <cell r="C483"/>
          <cell r="H483" t="str">
            <v/>
          </cell>
        </row>
        <row r="484">
          <cell r="B484"/>
          <cell r="C484"/>
          <cell r="H484" t="str">
            <v/>
          </cell>
        </row>
        <row r="485">
          <cell r="B485"/>
          <cell r="C485"/>
          <cell r="H485" t="str">
            <v/>
          </cell>
        </row>
        <row r="486">
          <cell r="B486"/>
          <cell r="C486"/>
          <cell r="H486" t="str">
            <v/>
          </cell>
        </row>
        <row r="487">
          <cell r="B487"/>
          <cell r="C487"/>
          <cell r="H487" t="str">
            <v/>
          </cell>
        </row>
        <row r="488">
          <cell r="B488"/>
          <cell r="C488"/>
          <cell r="H488" t="str">
            <v/>
          </cell>
        </row>
        <row r="489">
          <cell r="B489"/>
          <cell r="C489"/>
          <cell r="H489" t="str">
            <v/>
          </cell>
        </row>
        <row r="490">
          <cell r="B490"/>
          <cell r="C490"/>
          <cell r="H490" t="str">
            <v/>
          </cell>
        </row>
        <row r="491">
          <cell r="B491"/>
          <cell r="C491"/>
          <cell r="H491" t="str">
            <v/>
          </cell>
        </row>
        <row r="492">
          <cell r="B492"/>
          <cell r="C492"/>
          <cell r="H492" t="str">
            <v/>
          </cell>
        </row>
        <row r="493">
          <cell r="B493"/>
          <cell r="C493"/>
          <cell r="H493" t="str">
            <v/>
          </cell>
        </row>
        <row r="494">
          <cell r="B494"/>
          <cell r="C494"/>
          <cell r="H494" t="str">
            <v/>
          </cell>
        </row>
        <row r="495">
          <cell r="B495"/>
          <cell r="C495"/>
          <cell r="H495" t="str">
            <v/>
          </cell>
        </row>
        <row r="496">
          <cell r="B496"/>
          <cell r="C496"/>
          <cell r="H496" t="str">
            <v/>
          </cell>
        </row>
        <row r="497">
          <cell r="B497"/>
          <cell r="C497"/>
          <cell r="H497" t="str">
            <v/>
          </cell>
        </row>
        <row r="498">
          <cell r="B498"/>
          <cell r="C498"/>
          <cell r="H498" t="str">
            <v/>
          </cell>
        </row>
        <row r="499">
          <cell r="B499"/>
          <cell r="C499"/>
          <cell r="H499" t="str">
            <v/>
          </cell>
        </row>
        <row r="500">
          <cell r="B500"/>
          <cell r="C500"/>
          <cell r="H500" t="str">
            <v/>
          </cell>
        </row>
        <row r="501">
          <cell r="B501"/>
          <cell r="C501"/>
          <cell r="H501" t="str">
            <v/>
          </cell>
        </row>
        <row r="502">
          <cell r="B502"/>
          <cell r="C502"/>
          <cell r="H502" t="str">
            <v/>
          </cell>
        </row>
        <row r="503">
          <cell r="B503"/>
          <cell r="C503"/>
          <cell r="H503" t="str">
            <v/>
          </cell>
        </row>
        <row r="504">
          <cell r="B504"/>
          <cell r="C504"/>
          <cell r="H504" t="str">
            <v/>
          </cell>
        </row>
        <row r="505">
          <cell r="B505"/>
          <cell r="C505"/>
          <cell r="H505" t="str">
            <v/>
          </cell>
        </row>
        <row r="506">
          <cell r="B506"/>
          <cell r="C506"/>
          <cell r="H506" t="str">
            <v/>
          </cell>
        </row>
        <row r="507">
          <cell r="B507"/>
          <cell r="C507"/>
          <cell r="H507" t="str">
            <v/>
          </cell>
        </row>
        <row r="508">
          <cell r="B508"/>
          <cell r="C508"/>
          <cell r="H508" t="str">
            <v/>
          </cell>
        </row>
        <row r="509">
          <cell r="B509"/>
          <cell r="C509"/>
          <cell r="H509" t="str">
            <v/>
          </cell>
        </row>
        <row r="510">
          <cell r="B510"/>
          <cell r="C510"/>
          <cell r="H510" t="str">
            <v/>
          </cell>
        </row>
        <row r="511">
          <cell r="B511"/>
          <cell r="C511"/>
          <cell r="H511" t="str">
            <v/>
          </cell>
        </row>
        <row r="512">
          <cell r="B512"/>
          <cell r="C512"/>
          <cell r="H512" t="str">
            <v/>
          </cell>
        </row>
        <row r="513">
          <cell r="B513"/>
          <cell r="C513"/>
          <cell r="H513" t="str">
            <v/>
          </cell>
        </row>
        <row r="514">
          <cell r="B514"/>
          <cell r="C514"/>
          <cell r="H514" t="str">
            <v/>
          </cell>
        </row>
        <row r="515">
          <cell r="B515"/>
          <cell r="C515"/>
          <cell r="H515" t="str">
            <v/>
          </cell>
        </row>
        <row r="516">
          <cell r="B516"/>
          <cell r="C516"/>
          <cell r="H516" t="str">
            <v/>
          </cell>
        </row>
        <row r="517">
          <cell r="B517"/>
          <cell r="C517"/>
          <cell r="H517" t="str">
            <v/>
          </cell>
        </row>
        <row r="518">
          <cell r="B518"/>
          <cell r="C518"/>
          <cell r="H518" t="str">
            <v/>
          </cell>
        </row>
        <row r="519">
          <cell r="B519"/>
          <cell r="C519"/>
          <cell r="H519" t="str">
            <v/>
          </cell>
        </row>
        <row r="520">
          <cell r="B520"/>
          <cell r="C520"/>
          <cell r="H520" t="str">
            <v/>
          </cell>
        </row>
        <row r="521">
          <cell r="B521"/>
          <cell r="C521"/>
          <cell r="H521" t="str">
            <v/>
          </cell>
        </row>
        <row r="522">
          <cell r="B522"/>
          <cell r="C522"/>
          <cell r="H522" t="str">
            <v/>
          </cell>
        </row>
        <row r="523">
          <cell r="B523"/>
          <cell r="C523"/>
          <cell r="H523" t="str">
            <v/>
          </cell>
        </row>
        <row r="524">
          <cell r="B524"/>
          <cell r="C524"/>
          <cell r="H524" t="str">
            <v/>
          </cell>
        </row>
        <row r="525">
          <cell r="B525"/>
          <cell r="C525"/>
          <cell r="H525" t="str">
            <v/>
          </cell>
        </row>
        <row r="526">
          <cell r="B526"/>
          <cell r="C526"/>
          <cell r="H526" t="str">
            <v/>
          </cell>
        </row>
        <row r="527">
          <cell r="B527"/>
          <cell r="C527"/>
          <cell r="H527" t="str">
            <v/>
          </cell>
        </row>
        <row r="528">
          <cell r="B528"/>
          <cell r="C528"/>
          <cell r="H528" t="str">
            <v/>
          </cell>
        </row>
        <row r="529">
          <cell r="B529"/>
          <cell r="C529"/>
          <cell r="H529" t="str">
            <v/>
          </cell>
        </row>
        <row r="530">
          <cell r="B530"/>
          <cell r="C530"/>
          <cell r="H530" t="str">
            <v/>
          </cell>
        </row>
        <row r="531">
          <cell r="B531"/>
          <cell r="C531"/>
          <cell r="H531" t="str">
            <v/>
          </cell>
        </row>
        <row r="532">
          <cell r="B532"/>
          <cell r="C532"/>
          <cell r="H532" t="str">
            <v/>
          </cell>
        </row>
        <row r="533">
          <cell r="B533"/>
          <cell r="C533"/>
          <cell r="H533" t="str">
            <v/>
          </cell>
        </row>
        <row r="534">
          <cell r="B534"/>
          <cell r="C534"/>
          <cell r="H534" t="str">
            <v/>
          </cell>
        </row>
        <row r="535">
          <cell r="B535"/>
          <cell r="C535"/>
          <cell r="H535" t="str">
            <v/>
          </cell>
        </row>
        <row r="536">
          <cell r="B536"/>
          <cell r="C536"/>
          <cell r="H536" t="str">
            <v/>
          </cell>
        </row>
        <row r="537">
          <cell r="B537"/>
          <cell r="C537"/>
          <cell r="H537" t="str">
            <v/>
          </cell>
        </row>
        <row r="538">
          <cell r="B538"/>
          <cell r="C538"/>
          <cell r="H538" t="str">
            <v/>
          </cell>
        </row>
        <row r="539">
          <cell r="B539"/>
          <cell r="C539"/>
          <cell r="H539" t="str">
            <v/>
          </cell>
        </row>
        <row r="540">
          <cell r="B540"/>
          <cell r="C540"/>
          <cell r="H540" t="str">
            <v/>
          </cell>
        </row>
        <row r="541">
          <cell r="B541"/>
          <cell r="C541"/>
          <cell r="H541" t="str">
            <v/>
          </cell>
        </row>
        <row r="542">
          <cell r="B542"/>
          <cell r="C542"/>
          <cell r="H542" t="str">
            <v/>
          </cell>
        </row>
        <row r="543">
          <cell r="B543"/>
          <cell r="C543"/>
          <cell r="H543" t="str">
            <v/>
          </cell>
        </row>
        <row r="544">
          <cell r="B544"/>
          <cell r="C544"/>
          <cell r="H544" t="str">
            <v/>
          </cell>
        </row>
        <row r="545">
          <cell r="B545"/>
          <cell r="C545"/>
          <cell r="H545" t="str">
            <v/>
          </cell>
        </row>
        <row r="546">
          <cell r="B546"/>
          <cell r="C546"/>
          <cell r="H546" t="str">
            <v/>
          </cell>
        </row>
        <row r="547">
          <cell r="B547"/>
          <cell r="C547"/>
          <cell r="H547" t="str">
            <v/>
          </cell>
        </row>
        <row r="548">
          <cell r="B548"/>
          <cell r="C548"/>
          <cell r="H548" t="str">
            <v/>
          </cell>
        </row>
        <row r="549">
          <cell r="B549"/>
          <cell r="C549"/>
          <cell r="H549" t="str">
            <v/>
          </cell>
        </row>
        <row r="550">
          <cell r="B550"/>
          <cell r="C550"/>
          <cell r="H550" t="str">
            <v/>
          </cell>
        </row>
        <row r="551">
          <cell r="B551"/>
          <cell r="C551"/>
          <cell r="H551" t="str">
            <v/>
          </cell>
        </row>
        <row r="552">
          <cell r="B552"/>
          <cell r="C552"/>
          <cell r="H552" t="str">
            <v/>
          </cell>
        </row>
        <row r="553">
          <cell r="B553"/>
          <cell r="C553"/>
          <cell r="H553" t="str">
            <v/>
          </cell>
        </row>
        <row r="554">
          <cell r="B554"/>
          <cell r="C554"/>
          <cell r="H554" t="str">
            <v/>
          </cell>
        </row>
        <row r="555">
          <cell r="B555"/>
          <cell r="C555"/>
          <cell r="H555" t="str">
            <v/>
          </cell>
        </row>
        <row r="556">
          <cell r="B556"/>
          <cell r="C556"/>
          <cell r="H556" t="str">
            <v/>
          </cell>
        </row>
        <row r="557">
          <cell r="B557"/>
          <cell r="C557"/>
          <cell r="H557" t="str">
            <v/>
          </cell>
        </row>
        <row r="558">
          <cell r="B558"/>
          <cell r="C558"/>
          <cell r="H558" t="str">
            <v/>
          </cell>
        </row>
        <row r="559">
          <cell r="B559"/>
          <cell r="C559"/>
          <cell r="H559" t="str">
            <v/>
          </cell>
        </row>
        <row r="560">
          <cell r="B560"/>
          <cell r="C560"/>
          <cell r="H560" t="str">
            <v/>
          </cell>
        </row>
        <row r="561">
          <cell r="B561"/>
          <cell r="C561"/>
          <cell r="H561" t="str">
            <v/>
          </cell>
        </row>
        <row r="562">
          <cell r="B562"/>
          <cell r="C562"/>
          <cell r="H562" t="str">
            <v/>
          </cell>
        </row>
        <row r="563">
          <cell r="B563"/>
          <cell r="C563"/>
          <cell r="H563" t="str">
            <v/>
          </cell>
        </row>
        <row r="564">
          <cell r="B564"/>
          <cell r="C564"/>
          <cell r="H564" t="str">
            <v/>
          </cell>
        </row>
        <row r="565">
          <cell r="B565"/>
          <cell r="C565"/>
          <cell r="H565" t="str">
            <v/>
          </cell>
        </row>
        <row r="566">
          <cell r="B566"/>
          <cell r="C566"/>
          <cell r="H566" t="str">
            <v/>
          </cell>
        </row>
        <row r="567">
          <cell r="B567"/>
          <cell r="C567"/>
          <cell r="H567" t="str">
            <v/>
          </cell>
        </row>
        <row r="568">
          <cell r="B568"/>
          <cell r="C568"/>
          <cell r="H568" t="str">
            <v/>
          </cell>
        </row>
        <row r="569">
          <cell r="B569"/>
          <cell r="C569"/>
          <cell r="H569" t="str">
            <v/>
          </cell>
        </row>
        <row r="570">
          <cell r="B570"/>
          <cell r="C570"/>
          <cell r="H570" t="str">
            <v/>
          </cell>
        </row>
        <row r="571">
          <cell r="B571"/>
          <cell r="C571"/>
          <cell r="H571" t="str">
            <v/>
          </cell>
        </row>
        <row r="572">
          <cell r="B572"/>
          <cell r="C572"/>
          <cell r="H572" t="str">
            <v/>
          </cell>
        </row>
        <row r="573">
          <cell r="B573"/>
          <cell r="C573"/>
          <cell r="H573" t="str">
            <v/>
          </cell>
        </row>
        <row r="574">
          <cell r="B574"/>
          <cell r="C574"/>
          <cell r="H574" t="str">
            <v/>
          </cell>
        </row>
        <row r="575">
          <cell r="B575"/>
          <cell r="C575"/>
          <cell r="H575" t="str">
            <v/>
          </cell>
        </row>
        <row r="576">
          <cell r="B576"/>
          <cell r="C576"/>
          <cell r="H576" t="str">
            <v/>
          </cell>
        </row>
        <row r="577">
          <cell r="B577"/>
          <cell r="C577"/>
          <cell r="H577" t="str">
            <v/>
          </cell>
        </row>
        <row r="578">
          <cell r="B578"/>
          <cell r="C578"/>
          <cell r="H578" t="str">
            <v/>
          </cell>
        </row>
        <row r="579">
          <cell r="B579"/>
          <cell r="C579"/>
          <cell r="H579" t="str">
            <v/>
          </cell>
        </row>
        <row r="580">
          <cell r="B580"/>
          <cell r="C580"/>
          <cell r="H580" t="str">
            <v/>
          </cell>
        </row>
        <row r="581">
          <cell r="B581"/>
          <cell r="C581"/>
          <cell r="H581" t="str">
            <v/>
          </cell>
        </row>
        <row r="582">
          <cell r="B582"/>
          <cell r="C582"/>
          <cell r="H582" t="str">
            <v/>
          </cell>
        </row>
        <row r="583">
          <cell r="B583"/>
          <cell r="C583"/>
          <cell r="H583" t="str">
            <v/>
          </cell>
        </row>
        <row r="584">
          <cell r="B584"/>
          <cell r="C584"/>
          <cell r="H584" t="str">
            <v/>
          </cell>
        </row>
        <row r="585">
          <cell r="B585"/>
          <cell r="C585"/>
          <cell r="H585" t="str">
            <v/>
          </cell>
        </row>
        <row r="586">
          <cell r="B586"/>
          <cell r="C586"/>
          <cell r="H586" t="str">
            <v/>
          </cell>
        </row>
        <row r="587">
          <cell r="B587"/>
          <cell r="C587"/>
          <cell r="H587" t="str">
            <v/>
          </cell>
        </row>
        <row r="588">
          <cell r="B588"/>
          <cell r="C588"/>
          <cell r="H588" t="str">
            <v/>
          </cell>
        </row>
        <row r="589">
          <cell r="B589"/>
          <cell r="C589"/>
          <cell r="H589" t="str">
            <v/>
          </cell>
        </row>
        <row r="590">
          <cell r="B590"/>
          <cell r="C590"/>
          <cell r="H590" t="str">
            <v/>
          </cell>
        </row>
        <row r="591">
          <cell r="B591"/>
          <cell r="C591"/>
          <cell r="H591" t="str">
            <v/>
          </cell>
        </row>
        <row r="592">
          <cell r="B592"/>
          <cell r="C592"/>
          <cell r="H592" t="str">
            <v/>
          </cell>
        </row>
        <row r="593">
          <cell r="B593"/>
          <cell r="C593"/>
          <cell r="H593" t="str">
            <v/>
          </cell>
        </row>
        <row r="594">
          <cell r="B594"/>
          <cell r="C594"/>
          <cell r="H594" t="str">
            <v/>
          </cell>
        </row>
        <row r="595">
          <cell r="B595"/>
          <cell r="C595"/>
          <cell r="H595" t="str">
            <v/>
          </cell>
        </row>
        <row r="596">
          <cell r="B596"/>
          <cell r="C596"/>
          <cell r="H596" t="str">
            <v/>
          </cell>
        </row>
        <row r="597">
          <cell r="B597"/>
          <cell r="C597"/>
          <cell r="H597" t="str">
            <v/>
          </cell>
        </row>
        <row r="598">
          <cell r="B598"/>
          <cell r="C598"/>
          <cell r="H598" t="str">
            <v/>
          </cell>
        </row>
        <row r="599">
          <cell r="B599"/>
          <cell r="C599"/>
          <cell r="H599" t="str">
            <v/>
          </cell>
        </row>
        <row r="600">
          <cell r="B600"/>
          <cell r="C600"/>
          <cell r="H600" t="str">
            <v/>
          </cell>
        </row>
        <row r="601">
          <cell r="B601"/>
          <cell r="C601"/>
          <cell r="H601" t="str">
            <v/>
          </cell>
        </row>
        <row r="602">
          <cell r="B602"/>
          <cell r="C602"/>
          <cell r="H602" t="str">
            <v/>
          </cell>
        </row>
        <row r="603">
          <cell r="B603"/>
          <cell r="C603"/>
          <cell r="H603" t="str">
            <v/>
          </cell>
        </row>
        <row r="604">
          <cell r="B604"/>
          <cell r="C604"/>
          <cell r="H604" t="str">
            <v/>
          </cell>
        </row>
        <row r="605">
          <cell r="B605"/>
          <cell r="C605"/>
          <cell r="H605" t="str">
            <v/>
          </cell>
        </row>
        <row r="606">
          <cell r="B606"/>
          <cell r="C606"/>
          <cell r="H606" t="str">
            <v/>
          </cell>
        </row>
        <row r="607">
          <cell r="B607"/>
          <cell r="C607"/>
          <cell r="H607" t="str">
            <v/>
          </cell>
        </row>
        <row r="608">
          <cell r="B608"/>
          <cell r="C608"/>
          <cell r="H608" t="str">
            <v/>
          </cell>
        </row>
        <row r="609">
          <cell r="B609"/>
          <cell r="C609"/>
          <cell r="H609" t="str">
            <v/>
          </cell>
        </row>
        <row r="610">
          <cell r="B610"/>
          <cell r="C610"/>
          <cell r="H610" t="str">
            <v/>
          </cell>
        </row>
        <row r="611">
          <cell r="B611"/>
          <cell r="C611"/>
          <cell r="H611" t="str">
            <v/>
          </cell>
        </row>
        <row r="612">
          <cell r="B612"/>
          <cell r="C612"/>
          <cell r="H612" t="str">
            <v/>
          </cell>
        </row>
        <row r="613">
          <cell r="B613"/>
          <cell r="C613"/>
          <cell r="H613" t="str">
            <v/>
          </cell>
        </row>
        <row r="614">
          <cell r="B614"/>
          <cell r="C614"/>
          <cell r="H614" t="str">
            <v/>
          </cell>
        </row>
        <row r="615">
          <cell r="B615"/>
          <cell r="C615"/>
          <cell r="H615" t="str">
            <v/>
          </cell>
        </row>
        <row r="616">
          <cell r="B616"/>
          <cell r="C616"/>
          <cell r="H616" t="str">
            <v/>
          </cell>
        </row>
        <row r="617">
          <cell r="B617"/>
          <cell r="C617"/>
          <cell r="H617" t="str">
            <v/>
          </cell>
        </row>
        <row r="618">
          <cell r="B618"/>
          <cell r="C618"/>
          <cell r="H618" t="str">
            <v/>
          </cell>
        </row>
        <row r="619">
          <cell r="B619"/>
          <cell r="C619"/>
          <cell r="H619" t="str">
            <v/>
          </cell>
        </row>
        <row r="620">
          <cell r="B620"/>
          <cell r="C620"/>
          <cell r="H620" t="str">
            <v/>
          </cell>
        </row>
        <row r="621">
          <cell r="B621"/>
          <cell r="C621"/>
          <cell r="H621" t="str">
            <v/>
          </cell>
        </row>
        <row r="622">
          <cell r="B622"/>
          <cell r="C622"/>
          <cell r="H622" t="str">
            <v/>
          </cell>
        </row>
        <row r="623">
          <cell r="B623"/>
          <cell r="C623"/>
          <cell r="H623" t="str">
            <v/>
          </cell>
        </row>
        <row r="624">
          <cell r="B624"/>
          <cell r="C624"/>
          <cell r="H624" t="str">
            <v/>
          </cell>
        </row>
        <row r="625">
          <cell r="B625"/>
          <cell r="C625"/>
          <cell r="H625" t="str">
            <v/>
          </cell>
        </row>
        <row r="626">
          <cell r="B626"/>
          <cell r="C626"/>
          <cell r="H626" t="str">
            <v/>
          </cell>
        </row>
        <row r="627">
          <cell r="B627"/>
          <cell r="C627"/>
          <cell r="H627" t="str">
            <v/>
          </cell>
        </row>
        <row r="628">
          <cell r="B628"/>
          <cell r="C628"/>
          <cell r="H628" t="str">
            <v/>
          </cell>
        </row>
        <row r="629">
          <cell r="B629"/>
          <cell r="C629"/>
          <cell r="H629" t="str">
            <v/>
          </cell>
        </row>
        <row r="630">
          <cell r="B630"/>
          <cell r="C630"/>
          <cell r="H630" t="str">
            <v/>
          </cell>
        </row>
        <row r="631">
          <cell r="B631"/>
          <cell r="C631"/>
          <cell r="H631" t="str">
            <v/>
          </cell>
        </row>
        <row r="632">
          <cell r="B632"/>
          <cell r="C632"/>
          <cell r="H632" t="str">
            <v/>
          </cell>
        </row>
        <row r="633">
          <cell r="B633"/>
          <cell r="C633"/>
          <cell r="H633" t="str">
            <v/>
          </cell>
        </row>
        <row r="634">
          <cell r="B634"/>
          <cell r="C634"/>
          <cell r="H634" t="str">
            <v/>
          </cell>
        </row>
        <row r="635">
          <cell r="B635"/>
          <cell r="C635"/>
          <cell r="H635" t="str">
            <v/>
          </cell>
        </row>
        <row r="636">
          <cell r="B636"/>
          <cell r="C636"/>
          <cell r="H636" t="str">
            <v/>
          </cell>
        </row>
        <row r="637">
          <cell r="B637"/>
          <cell r="C637"/>
          <cell r="H637" t="str">
            <v/>
          </cell>
        </row>
        <row r="638">
          <cell r="B638"/>
          <cell r="C638"/>
          <cell r="H638" t="str">
            <v/>
          </cell>
        </row>
        <row r="639">
          <cell r="B639"/>
          <cell r="C639"/>
          <cell r="H639" t="str">
            <v/>
          </cell>
        </row>
        <row r="640">
          <cell r="B640"/>
          <cell r="C640"/>
          <cell r="H640" t="str">
            <v/>
          </cell>
        </row>
        <row r="641">
          <cell r="B641"/>
          <cell r="C641"/>
          <cell r="H641" t="str">
            <v/>
          </cell>
        </row>
        <row r="642">
          <cell r="B642"/>
          <cell r="C642"/>
          <cell r="H642" t="str">
            <v/>
          </cell>
        </row>
        <row r="643">
          <cell r="B643"/>
          <cell r="C643"/>
          <cell r="H643" t="str">
            <v/>
          </cell>
        </row>
        <row r="644">
          <cell r="B644"/>
          <cell r="C644"/>
          <cell r="H644" t="str">
            <v/>
          </cell>
        </row>
        <row r="645">
          <cell r="B645"/>
          <cell r="C645"/>
          <cell r="H645" t="str">
            <v/>
          </cell>
        </row>
        <row r="646">
          <cell r="B646"/>
          <cell r="C646"/>
          <cell r="H646" t="str">
            <v/>
          </cell>
        </row>
        <row r="647">
          <cell r="B647"/>
          <cell r="C647"/>
          <cell r="H647" t="str">
            <v/>
          </cell>
        </row>
        <row r="648">
          <cell r="B648"/>
          <cell r="C648"/>
          <cell r="H648" t="str">
            <v/>
          </cell>
        </row>
        <row r="649">
          <cell r="B649"/>
          <cell r="C649"/>
          <cell r="H649" t="str">
            <v/>
          </cell>
        </row>
        <row r="650">
          <cell r="B650"/>
          <cell r="C650"/>
          <cell r="H650" t="str">
            <v/>
          </cell>
        </row>
        <row r="651">
          <cell r="B651"/>
          <cell r="C651"/>
          <cell r="H651" t="str">
            <v/>
          </cell>
        </row>
        <row r="652">
          <cell r="B652"/>
          <cell r="C652"/>
          <cell r="H652" t="str">
            <v/>
          </cell>
        </row>
        <row r="653">
          <cell r="B653"/>
          <cell r="C653"/>
          <cell r="H653" t="str">
            <v/>
          </cell>
        </row>
        <row r="654">
          <cell r="B654"/>
          <cell r="C654"/>
          <cell r="H654" t="str">
            <v/>
          </cell>
        </row>
        <row r="655">
          <cell r="B655"/>
          <cell r="C655"/>
          <cell r="H655" t="str">
            <v/>
          </cell>
        </row>
        <row r="656">
          <cell r="B656"/>
          <cell r="C656"/>
          <cell r="H656" t="str">
            <v/>
          </cell>
        </row>
        <row r="657">
          <cell r="B657"/>
          <cell r="C657"/>
          <cell r="H657" t="str">
            <v/>
          </cell>
        </row>
        <row r="658">
          <cell r="B658"/>
          <cell r="C658"/>
          <cell r="H658" t="str">
            <v/>
          </cell>
        </row>
        <row r="659">
          <cell r="B659"/>
          <cell r="C659"/>
          <cell r="H659" t="str">
            <v/>
          </cell>
        </row>
        <row r="660">
          <cell r="B660"/>
          <cell r="C660"/>
          <cell r="H660" t="str">
            <v/>
          </cell>
        </row>
        <row r="661">
          <cell r="B661"/>
          <cell r="C661"/>
          <cell r="H661" t="str">
            <v/>
          </cell>
        </row>
        <row r="662">
          <cell r="B662"/>
          <cell r="C662"/>
          <cell r="H662" t="str">
            <v/>
          </cell>
        </row>
        <row r="663">
          <cell r="B663"/>
          <cell r="C663"/>
          <cell r="H663" t="str">
            <v/>
          </cell>
        </row>
        <row r="664">
          <cell r="B664"/>
          <cell r="C664"/>
          <cell r="H664" t="str">
            <v/>
          </cell>
        </row>
        <row r="665">
          <cell r="B665"/>
          <cell r="C665"/>
          <cell r="H665" t="str">
            <v/>
          </cell>
        </row>
        <row r="666">
          <cell r="B666"/>
          <cell r="C666"/>
          <cell r="H666" t="str">
            <v/>
          </cell>
        </row>
        <row r="667">
          <cell r="B667"/>
          <cell r="C667"/>
          <cell r="H667" t="str">
            <v/>
          </cell>
        </row>
        <row r="668">
          <cell r="B668"/>
          <cell r="C668"/>
          <cell r="H668" t="str">
            <v/>
          </cell>
        </row>
        <row r="669">
          <cell r="B669"/>
          <cell r="C669"/>
          <cell r="H669" t="str">
            <v/>
          </cell>
        </row>
        <row r="670">
          <cell r="B670"/>
          <cell r="C670"/>
          <cell r="H670" t="str">
            <v/>
          </cell>
        </row>
        <row r="671">
          <cell r="B671"/>
          <cell r="C671"/>
          <cell r="H671" t="str">
            <v/>
          </cell>
        </row>
        <row r="672">
          <cell r="B672"/>
          <cell r="C672"/>
          <cell r="H672" t="str">
            <v/>
          </cell>
        </row>
        <row r="673">
          <cell r="B673"/>
          <cell r="C673"/>
          <cell r="H673" t="str">
            <v/>
          </cell>
        </row>
        <row r="674">
          <cell r="B674"/>
          <cell r="C674"/>
          <cell r="H674" t="str">
            <v/>
          </cell>
        </row>
        <row r="675">
          <cell r="B675"/>
          <cell r="C675"/>
          <cell r="H675" t="str">
            <v/>
          </cell>
        </row>
        <row r="676">
          <cell r="B676"/>
          <cell r="C676"/>
          <cell r="H676" t="str">
            <v/>
          </cell>
        </row>
        <row r="677">
          <cell r="B677"/>
          <cell r="C677"/>
          <cell r="H677" t="str">
            <v/>
          </cell>
        </row>
        <row r="678">
          <cell r="B678"/>
          <cell r="C678"/>
          <cell r="H678" t="str">
            <v/>
          </cell>
        </row>
        <row r="679">
          <cell r="B679"/>
          <cell r="C679"/>
          <cell r="H679" t="str">
            <v/>
          </cell>
        </row>
        <row r="680">
          <cell r="B680"/>
          <cell r="C680"/>
          <cell r="H680" t="str">
            <v/>
          </cell>
        </row>
        <row r="681">
          <cell r="B681"/>
          <cell r="C681"/>
          <cell r="H681" t="str">
            <v/>
          </cell>
        </row>
        <row r="682">
          <cell r="B682"/>
          <cell r="C682"/>
          <cell r="H682" t="str">
            <v/>
          </cell>
        </row>
        <row r="683">
          <cell r="B683"/>
          <cell r="C683"/>
          <cell r="H683" t="str">
            <v/>
          </cell>
        </row>
        <row r="684">
          <cell r="B684"/>
          <cell r="C684"/>
          <cell r="H684" t="str">
            <v/>
          </cell>
        </row>
        <row r="685">
          <cell r="B685"/>
          <cell r="C685"/>
          <cell r="H685" t="str">
            <v/>
          </cell>
        </row>
        <row r="686">
          <cell r="B686"/>
          <cell r="C686"/>
          <cell r="H686" t="str">
            <v/>
          </cell>
        </row>
        <row r="687">
          <cell r="B687"/>
          <cell r="C687"/>
          <cell r="H687" t="str">
            <v/>
          </cell>
        </row>
        <row r="688">
          <cell r="B688"/>
          <cell r="C688"/>
          <cell r="H688" t="str">
            <v/>
          </cell>
        </row>
        <row r="689">
          <cell r="B689"/>
          <cell r="C689"/>
          <cell r="H689" t="str">
            <v/>
          </cell>
        </row>
        <row r="690">
          <cell r="B690"/>
          <cell r="C690"/>
          <cell r="H690" t="str">
            <v/>
          </cell>
        </row>
        <row r="691">
          <cell r="B691"/>
          <cell r="C691"/>
          <cell r="H691" t="str">
            <v/>
          </cell>
        </row>
        <row r="692">
          <cell r="B692"/>
          <cell r="C692"/>
          <cell r="H692" t="str">
            <v/>
          </cell>
        </row>
        <row r="693">
          <cell r="B693"/>
          <cell r="C693"/>
          <cell r="H693" t="str">
            <v/>
          </cell>
        </row>
        <row r="694">
          <cell r="B694"/>
          <cell r="C694"/>
          <cell r="H694" t="str">
            <v/>
          </cell>
        </row>
        <row r="695">
          <cell r="B695"/>
          <cell r="C695"/>
          <cell r="H695" t="str">
            <v/>
          </cell>
        </row>
        <row r="696">
          <cell r="B696"/>
          <cell r="C696"/>
          <cell r="H696" t="str">
            <v/>
          </cell>
        </row>
        <row r="697">
          <cell r="B697"/>
          <cell r="C697"/>
          <cell r="H697" t="str">
            <v/>
          </cell>
        </row>
        <row r="698">
          <cell r="B698"/>
          <cell r="C698"/>
          <cell r="H698" t="str">
            <v/>
          </cell>
        </row>
        <row r="699">
          <cell r="B699"/>
          <cell r="C699"/>
          <cell r="H699" t="str">
            <v/>
          </cell>
        </row>
        <row r="700">
          <cell r="B700"/>
          <cell r="C700"/>
          <cell r="H700" t="str">
            <v/>
          </cell>
        </row>
        <row r="701">
          <cell r="B701"/>
          <cell r="C701"/>
          <cell r="H701" t="str">
            <v/>
          </cell>
        </row>
        <row r="702">
          <cell r="B702"/>
          <cell r="C702"/>
          <cell r="H702" t="str">
            <v/>
          </cell>
        </row>
        <row r="703">
          <cell r="B703"/>
          <cell r="C703"/>
          <cell r="H703" t="str">
            <v/>
          </cell>
        </row>
        <row r="704">
          <cell r="B704"/>
          <cell r="C704"/>
          <cell r="H704" t="str">
            <v/>
          </cell>
        </row>
        <row r="705">
          <cell r="B705"/>
          <cell r="C705"/>
          <cell r="H705" t="str">
            <v/>
          </cell>
        </row>
        <row r="706">
          <cell r="B706"/>
          <cell r="C706"/>
          <cell r="H706" t="str">
            <v/>
          </cell>
        </row>
        <row r="707">
          <cell r="B707"/>
          <cell r="C707"/>
          <cell r="H707" t="str">
            <v/>
          </cell>
        </row>
        <row r="708">
          <cell r="B708"/>
          <cell r="C708"/>
          <cell r="H708" t="str">
            <v/>
          </cell>
        </row>
        <row r="709">
          <cell r="B709"/>
          <cell r="C709"/>
          <cell r="H709" t="str">
            <v/>
          </cell>
        </row>
        <row r="710">
          <cell r="B710"/>
          <cell r="C710"/>
          <cell r="H710" t="str">
            <v/>
          </cell>
        </row>
        <row r="711">
          <cell r="B711"/>
          <cell r="C711"/>
          <cell r="H711" t="str">
            <v/>
          </cell>
        </row>
        <row r="712">
          <cell r="B712"/>
          <cell r="C712"/>
          <cell r="H712" t="str">
            <v/>
          </cell>
        </row>
        <row r="713">
          <cell r="B713"/>
          <cell r="C713"/>
          <cell r="H713" t="str">
            <v/>
          </cell>
        </row>
        <row r="714">
          <cell r="B714"/>
          <cell r="C714"/>
          <cell r="H714" t="str">
            <v/>
          </cell>
        </row>
        <row r="715">
          <cell r="B715"/>
          <cell r="C715"/>
          <cell r="H715" t="str">
            <v/>
          </cell>
        </row>
        <row r="716">
          <cell r="B716"/>
          <cell r="C716"/>
          <cell r="H716" t="str">
            <v/>
          </cell>
        </row>
        <row r="717">
          <cell r="B717"/>
          <cell r="C717"/>
          <cell r="H717" t="str">
            <v/>
          </cell>
        </row>
        <row r="718">
          <cell r="B718"/>
          <cell r="C718"/>
          <cell r="H718" t="str">
            <v/>
          </cell>
        </row>
        <row r="719">
          <cell r="B719"/>
          <cell r="C719"/>
          <cell r="H719" t="str">
            <v/>
          </cell>
        </row>
        <row r="720">
          <cell r="B720"/>
          <cell r="C720"/>
          <cell r="H720" t="str">
            <v/>
          </cell>
        </row>
        <row r="721">
          <cell r="B721"/>
          <cell r="C721"/>
          <cell r="H721" t="str">
            <v/>
          </cell>
        </row>
        <row r="722">
          <cell r="B722"/>
          <cell r="C722"/>
          <cell r="H722" t="str">
            <v/>
          </cell>
        </row>
        <row r="723">
          <cell r="B723"/>
          <cell r="C723"/>
          <cell r="H723" t="str">
            <v/>
          </cell>
        </row>
        <row r="724">
          <cell r="B724"/>
          <cell r="C724"/>
          <cell r="H724" t="str">
            <v/>
          </cell>
        </row>
        <row r="725">
          <cell r="B725"/>
          <cell r="C725"/>
          <cell r="H725" t="str">
            <v/>
          </cell>
        </row>
        <row r="726">
          <cell r="B726"/>
          <cell r="C726"/>
          <cell r="H726" t="str">
            <v/>
          </cell>
        </row>
        <row r="727">
          <cell r="B727"/>
          <cell r="C727"/>
          <cell r="H727" t="str">
            <v/>
          </cell>
        </row>
        <row r="728">
          <cell r="B728"/>
          <cell r="C728"/>
          <cell r="H728" t="str">
            <v/>
          </cell>
        </row>
        <row r="729">
          <cell r="B729"/>
          <cell r="C729"/>
          <cell r="H729" t="str">
            <v/>
          </cell>
        </row>
        <row r="730">
          <cell r="B730"/>
          <cell r="C730"/>
          <cell r="H730" t="str">
            <v/>
          </cell>
        </row>
        <row r="731">
          <cell r="B731"/>
          <cell r="C731"/>
          <cell r="H731" t="str">
            <v/>
          </cell>
        </row>
        <row r="732">
          <cell r="B732"/>
          <cell r="C732"/>
          <cell r="H732" t="str">
            <v/>
          </cell>
        </row>
        <row r="733">
          <cell r="B733"/>
          <cell r="C733"/>
          <cell r="H733" t="str">
            <v/>
          </cell>
        </row>
        <row r="734">
          <cell r="B734"/>
          <cell r="C734"/>
          <cell r="H734" t="str">
            <v/>
          </cell>
        </row>
        <row r="735">
          <cell r="B735"/>
          <cell r="C735"/>
          <cell r="H735" t="str">
            <v/>
          </cell>
        </row>
        <row r="736">
          <cell r="B736"/>
          <cell r="C736"/>
          <cell r="H736" t="str">
            <v/>
          </cell>
        </row>
        <row r="737">
          <cell r="B737"/>
          <cell r="C737"/>
          <cell r="H737" t="str">
            <v/>
          </cell>
        </row>
        <row r="738">
          <cell r="B738"/>
          <cell r="C738"/>
          <cell r="H738" t="str">
            <v/>
          </cell>
        </row>
        <row r="739">
          <cell r="B739"/>
          <cell r="C739"/>
          <cell r="H739" t="str">
            <v/>
          </cell>
        </row>
        <row r="740">
          <cell r="B740"/>
          <cell r="C740"/>
          <cell r="H740" t="str">
            <v/>
          </cell>
        </row>
        <row r="741">
          <cell r="B741"/>
          <cell r="C741"/>
          <cell r="H741" t="str">
            <v/>
          </cell>
        </row>
        <row r="742">
          <cell r="B742"/>
          <cell r="C742"/>
          <cell r="H742" t="str">
            <v/>
          </cell>
        </row>
        <row r="743">
          <cell r="B743"/>
          <cell r="C743"/>
          <cell r="H743" t="str">
            <v/>
          </cell>
        </row>
        <row r="744">
          <cell r="B744"/>
          <cell r="C744"/>
          <cell r="H744" t="str">
            <v/>
          </cell>
        </row>
        <row r="745">
          <cell r="B745"/>
          <cell r="C745"/>
          <cell r="H745" t="str">
            <v/>
          </cell>
        </row>
        <row r="746">
          <cell r="B746"/>
          <cell r="C746"/>
          <cell r="H746" t="str">
            <v/>
          </cell>
        </row>
        <row r="747">
          <cell r="B747"/>
          <cell r="C747"/>
          <cell r="H747" t="str">
            <v/>
          </cell>
        </row>
        <row r="748">
          <cell r="B748"/>
          <cell r="C748"/>
          <cell r="H748" t="str">
            <v/>
          </cell>
        </row>
        <row r="749">
          <cell r="B749"/>
          <cell r="C749"/>
          <cell r="H749" t="str">
            <v/>
          </cell>
        </row>
        <row r="750">
          <cell r="B750"/>
          <cell r="C750"/>
          <cell r="H750" t="str">
            <v/>
          </cell>
        </row>
        <row r="751">
          <cell r="B751"/>
          <cell r="C751"/>
          <cell r="H751" t="str">
            <v/>
          </cell>
        </row>
        <row r="752">
          <cell r="B752"/>
          <cell r="C752"/>
          <cell r="H752" t="str">
            <v/>
          </cell>
        </row>
        <row r="753">
          <cell r="B753"/>
          <cell r="C753"/>
          <cell r="H753" t="str">
            <v/>
          </cell>
        </row>
        <row r="754">
          <cell r="B754"/>
          <cell r="C754"/>
          <cell r="H754" t="str">
            <v/>
          </cell>
        </row>
        <row r="755">
          <cell r="B755"/>
          <cell r="C755"/>
          <cell r="H755" t="str">
            <v/>
          </cell>
        </row>
        <row r="756">
          <cell r="B756"/>
          <cell r="C756"/>
          <cell r="H756" t="str">
            <v/>
          </cell>
        </row>
        <row r="757">
          <cell r="B757"/>
          <cell r="C757"/>
          <cell r="H757" t="str">
            <v/>
          </cell>
        </row>
        <row r="758">
          <cell r="B758"/>
          <cell r="C758"/>
          <cell r="H758" t="str">
            <v/>
          </cell>
        </row>
        <row r="759">
          <cell r="B759"/>
          <cell r="C759"/>
          <cell r="H759" t="str">
            <v/>
          </cell>
        </row>
        <row r="760">
          <cell r="B760"/>
          <cell r="C760"/>
          <cell r="H760" t="str">
            <v/>
          </cell>
        </row>
        <row r="761">
          <cell r="B761"/>
          <cell r="C761"/>
          <cell r="H761" t="str">
            <v/>
          </cell>
        </row>
        <row r="762">
          <cell r="B762"/>
          <cell r="C762"/>
          <cell r="H762" t="str">
            <v/>
          </cell>
        </row>
        <row r="763">
          <cell r="B763"/>
          <cell r="C763"/>
          <cell r="H763" t="str">
            <v/>
          </cell>
        </row>
        <row r="764">
          <cell r="B764"/>
          <cell r="C764"/>
          <cell r="H764" t="str">
            <v/>
          </cell>
        </row>
        <row r="765">
          <cell r="B765"/>
          <cell r="C765"/>
          <cell r="H765" t="str">
            <v/>
          </cell>
        </row>
        <row r="766">
          <cell r="B766"/>
          <cell r="C766"/>
          <cell r="H766" t="str">
            <v/>
          </cell>
        </row>
        <row r="767">
          <cell r="B767"/>
          <cell r="C767"/>
          <cell r="H767" t="str">
            <v/>
          </cell>
        </row>
        <row r="768">
          <cell r="B768"/>
          <cell r="C768"/>
          <cell r="H768" t="str">
            <v/>
          </cell>
        </row>
        <row r="769">
          <cell r="B769"/>
          <cell r="C769"/>
          <cell r="H769" t="str">
            <v/>
          </cell>
        </row>
        <row r="770">
          <cell r="B770"/>
          <cell r="C770"/>
          <cell r="H770" t="str">
            <v/>
          </cell>
        </row>
        <row r="771">
          <cell r="B771"/>
          <cell r="C771"/>
          <cell r="H771" t="str">
            <v/>
          </cell>
        </row>
        <row r="772">
          <cell r="B772"/>
          <cell r="C772"/>
          <cell r="H772" t="str">
            <v/>
          </cell>
        </row>
        <row r="773">
          <cell r="B773"/>
          <cell r="C773"/>
          <cell r="H773" t="str">
            <v/>
          </cell>
        </row>
        <row r="774">
          <cell r="B774"/>
          <cell r="C774"/>
          <cell r="H774" t="str">
            <v/>
          </cell>
        </row>
        <row r="775">
          <cell r="B775"/>
          <cell r="C775"/>
          <cell r="H775" t="str">
            <v/>
          </cell>
        </row>
        <row r="776">
          <cell r="B776"/>
          <cell r="C776"/>
          <cell r="H776" t="str">
            <v/>
          </cell>
        </row>
        <row r="777">
          <cell r="B777"/>
          <cell r="C777"/>
          <cell r="H777" t="str">
            <v/>
          </cell>
        </row>
        <row r="778">
          <cell r="B778"/>
          <cell r="C778"/>
          <cell r="H778" t="str">
            <v/>
          </cell>
        </row>
        <row r="779">
          <cell r="B779"/>
          <cell r="C779"/>
          <cell r="H779" t="str">
            <v/>
          </cell>
        </row>
        <row r="780">
          <cell r="B780"/>
          <cell r="C780"/>
          <cell r="H780" t="str">
            <v/>
          </cell>
        </row>
        <row r="781">
          <cell r="B781"/>
          <cell r="C781"/>
          <cell r="H781" t="str">
            <v/>
          </cell>
        </row>
        <row r="782">
          <cell r="B782"/>
          <cell r="C782"/>
          <cell r="H782" t="str">
            <v/>
          </cell>
        </row>
        <row r="783">
          <cell r="B783"/>
          <cell r="C783"/>
          <cell r="H783" t="str">
            <v/>
          </cell>
        </row>
        <row r="784">
          <cell r="B784"/>
          <cell r="C784"/>
          <cell r="H784" t="str">
            <v/>
          </cell>
        </row>
        <row r="785">
          <cell r="B785"/>
          <cell r="C785"/>
          <cell r="H785" t="str">
            <v/>
          </cell>
        </row>
        <row r="786">
          <cell r="B786"/>
          <cell r="C786"/>
          <cell r="H786" t="str">
            <v/>
          </cell>
        </row>
        <row r="787">
          <cell r="B787"/>
          <cell r="C787"/>
          <cell r="H787" t="str">
            <v/>
          </cell>
        </row>
        <row r="788">
          <cell r="B788"/>
          <cell r="C788"/>
          <cell r="H788" t="str">
            <v/>
          </cell>
        </row>
        <row r="789">
          <cell r="B789"/>
          <cell r="C789"/>
          <cell r="H789" t="str">
            <v/>
          </cell>
        </row>
        <row r="790">
          <cell r="B790"/>
          <cell r="C790"/>
          <cell r="H790" t="str">
            <v/>
          </cell>
        </row>
        <row r="791">
          <cell r="B791"/>
          <cell r="C791"/>
          <cell r="H791" t="str">
            <v/>
          </cell>
        </row>
        <row r="792">
          <cell r="B792"/>
          <cell r="C792"/>
          <cell r="H792" t="str">
            <v/>
          </cell>
        </row>
        <row r="793">
          <cell r="B793"/>
          <cell r="C793"/>
          <cell r="H793" t="str">
            <v/>
          </cell>
        </row>
        <row r="794">
          <cell r="B794"/>
          <cell r="C794"/>
          <cell r="H794" t="str">
            <v/>
          </cell>
        </row>
        <row r="795">
          <cell r="B795"/>
          <cell r="C795"/>
          <cell r="H795" t="str">
            <v/>
          </cell>
        </row>
        <row r="796">
          <cell r="B796"/>
          <cell r="C796"/>
          <cell r="H796" t="str">
            <v/>
          </cell>
        </row>
        <row r="797">
          <cell r="B797"/>
          <cell r="C797"/>
          <cell r="H797" t="str">
            <v/>
          </cell>
        </row>
        <row r="798">
          <cell r="B798"/>
          <cell r="C798"/>
          <cell r="H798" t="str">
            <v/>
          </cell>
        </row>
        <row r="799">
          <cell r="B799"/>
          <cell r="C799"/>
          <cell r="H799" t="str">
            <v/>
          </cell>
        </row>
        <row r="800">
          <cell r="B800"/>
          <cell r="C800"/>
          <cell r="H800" t="str">
            <v/>
          </cell>
        </row>
        <row r="801">
          <cell r="B801"/>
          <cell r="C801"/>
          <cell r="H801" t="str">
            <v/>
          </cell>
        </row>
        <row r="802">
          <cell r="B802"/>
          <cell r="C802"/>
          <cell r="H802" t="str">
            <v/>
          </cell>
        </row>
        <row r="803">
          <cell r="B803"/>
          <cell r="C803"/>
          <cell r="H803" t="str">
            <v/>
          </cell>
        </row>
        <row r="804">
          <cell r="B804"/>
          <cell r="C804"/>
          <cell r="H804" t="str">
            <v/>
          </cell>
        </row>
        <row r="805">
          <cell r="B805"/>
          <cell r="C805"/>
          <cell r="H805" t="str">
            <v/>
          </cell>
        </row>
        <row r="806">
          <cell r="B806"/>
          <cell r="C806"/>
          <cell r="H806" t="str">
            <v/>
          </cell>
        </row>
        <row r="807">
          <cell r="B807"/>
          <cell r="C807"/>
          <cell r="H807" t="str">
            <v/>
          </cell>
        </row>
        <row r="808">
          <cell r="B808"/>
          <cell r="C808"/>
          <cell r="H808" t="str">
            <v/>
          </cell>
        </row>
        <row r="809">
          <cell r="B809"/>
          <cell r="C809"/>
          <cell r="H809" t="str">
            <v/>
          </cell>
        </row>
        <row r="810">
          <cell r="B810"/>
          <cell r="C810"/>
          <cell r="H810" t="str">
            <v/>
          </cell>
        </row>
        <row r="811">
          <cell r="B811"/>
          <cell r="C811"/>
          <cell r="H811" t="str">
            <v/>
          </cell>
        </row>
        <row r="812">
          <cell r="B812"/>
          <cell r="C812"/>
          <cell r="H812" t="str">
            <v/>
          </cell>
        </row>
        <row r="813">
          <cell r="B813"/>
          <cell r="C813"/>
          <cell r="H813" t="str">
            <v/>
          </cell>
        </row>
        <row r="814">
          <cell r="B814"/>
          <cell r="C814"/>
          <cell r="H814" t="str">
            <v/>
          </cell>
        </row>
        <row r="815">
          <cell r="B815"/>
          <cell r="C815"/>
          <cell r="H815" t="str">
            <v/>
          </cell>
        </row>
        <row r="816">
          <cell r="B816"/>
          <cell r="C816"/>
          <cell r="H816" t="str">
            <v/>
          </cell>
        </row>
        <row r="817">
          <cell r="B817"/>
          <cell r="C817"/>
          <cell r="H817" t="str">
            <v/>
          </cell>
        </row>
        <row r="818">
          <cell r="B818"/>
          <cell r="C818"/>
          <cell r="H818" t="str">
            <v/>
          </cell>
        </row>
        <row r="819">
          <cell r="B819"/>
          <cell r="C819"/>
          <cell r="H819" t="str">
            <v/>
          </cell>
        </row>
        <row r="820">
          <cell r="B820"/>
          <cell r="C820"/>
          <cell r="H820" t="str">
            <v/>
          </cell>
        </row>
        <row r="821">
          <cell r="B821"/>
          <cell r="C821"/>
          <cell r="H821" t="str">
            <v/>
          </cell>
        </row>
        <row r="822">
          <cell r="B822"/>
          <cell r="C822"/>
          <cell r="H822" t="str">
            <v/>
          </cell>
        </row>
        <row r="823">
          <cell r="B823"/>
          <cell r="C823"/>
          <cell r="H823" t="str">
            <v/>
          </cell>
        </row>
        <row r="824">
          <cell r="B824"/>
          <cell r="C824"/>
          <cell r="H824" t="str">
            <v/>
          </cell>
        </row>
        <row r="825">
          <cell r="B825"/>
          <cell r="C825"/>
          <cell r="H825" t="str">
            <v/>
          </cell>
        </row>
        <row r="826">
          <cell r="B826"/>
          <cell r="C826"/>
          <cell r="H826" t="str">
            <v/>
          </cell>
        </row>
        <row r="827">
          <cell r="B827"/>
          <cell r="C827"/>
          <cell r="H827" t="str">
            <v/>
          </cell>
        </row>
        <row r="828">
          <cell r="B828"/>
          <cell r="C828"/>
          <cell r="H828" t="str">
            <v/>
          </cell>
        </row>
        <row r="829">
          <cell r="B829"/>
          <cell r="C829"/>
          <cell r="H829" t="str">
            <v/>
          </cell>
        </row>
        <row r="830">
          <cell r="B830"/>
          <cell r="C830"/>
          <cell r="H830" t="str">
            <v/>
          </cell>
        </row>
        <row r="831">
          <cell r="B831"/>
          <cell r="C831"/>
          <cell r="H831" t="str">
            <v/>
          </cell>
        </row>
        <row r="832">
          <cell r="B832"/>
          <cell r="C832"/>
          <cell r="H832" t="str">
            <v/>
          </cell>
        </row>
        <row r="833">
          <cell r="B833"/>
          <cell r="C833"/>
          <cell r="H833" t="str">
            <v/>
          </cell>
        </row>
        <row r="834">
          <cell r="B834"/>
          <cell r="C834"/>
          <cell r="H834" t="str">
            <v/>
          </cell>
        </row>
        <row r="835">
          <cell r="B835"/>
          <cell r="C835"/>
          <cell r="H835" t="str">
            <v/>
          </cell>
        </row>
        <row r="836">
          <cell r="B836"/>
          <cell r="C836"/>
          <cell r="H836" t="str">
            <v/>
          </cell>
        </row>
        <row r="837">
          <cell r="B837"/>
          <cell r="C837"/>
          <cell r="H837" t="str">
            <v/>
          </cell>
        </row>
        <row r="838">
          <cell r="B838"/>
          <cell r="C838"/>
          <cell r="H838" t="str">
            <v/>
          </cell>
        </row>
        <row r="839">
          <cell r="B839"/>
          <cell r="C839"/>
          <cell r="H839" t="str">
            <v/>
          </cell>
        </row>
        <row r="840">
          <cell r="B840"/>
          <cell r="C840"/>
          <cell r="H840" t="str">
            <v/>
          </cell>
        </row>
        <row r="841">
          <cell r="B841"/>
          <cell r="C841"/>
          <cell r="H841" t="str">
            <v/>
          </cell>
        </row>
        <row r="842">
          <cell r="B842"/>
          <cell r="C842"/>
          <cell r="H842" t="str">
            <v/>
          </cell>
        </row>
        <row r="843">
          <cell r="B843"/>
          <cell r="C843"/>
          <cell r="H843" t="str">
            <v/>
          </cell>
        </row>
        <row r="844">
          <cell r="B844"/>
          <cell r="C844"/>
          <cell r="H844" t="str">
            <v/>
          </cell>
        </row>
        <row r="845">
          <cell r="B845"/>
          <cell r="C845"/>
          <cell r="H845" t="str">
            <v/>
          </cell>
        </row>
        <row r="846">
          <cell r="B846"/>
          <cell r="C846"/>
          <cell r="H846" t="str">
            <v/>
          </cell>
        </row>
        <row r="847">
          <cell r="B847"/>
          <cell r="C847"/>
          <cell r="H847" t="str">
            <v/>
          </cell>
        </row>
        <row r="848">
          <cell r="B848"/>
          <cell r="C848"/>
          <cell r="H848" t="str">
            <v/>
          </cell>
        </row>
        <row r="849">
          <cell r="B849"/>
          <cell r="C849"/>
          <cell r="H849" t="str">
            <v/>
          </cell>
        </row>
        <row r="850">
          <cell r="B850"/>
          <cell r="C850"/>
          <cell r="H850" t="str">
            <v/>
          </cell>
        </row>
        <row r="851">
          <cell r="B851"/>
          <cell r="C851"/>
          <cell r="H851" t="str">
            <v/>
          </cell>
        </row>
        <row r="852">
          <cell r="B852"/>
          <cell r="C852"/>
          <cell r="H852" t="str">
            <v/>
          </cell>
        </row>
        <row r="853">
          <cell r="B853"/>
          <cell r="C853"/>
          <cell r="H853" t="str">
            <v/>
          </cell>
        </row>
        <row r="854">
          <cell r="B854"/>
          <cell r="C854"/>
          <cell r="H854" t="str">
            <v/>
          </cell>
        </row>
        <row r="855">
          <cell r="B855"/>
          <cell r="C855"/>
          <cell r="H855" t="str">
            <v/>
          </cell>
        </row>
        <row r="856">
          <cell r="B856"/>
          <cell r="C856"/>
          <cell r="H856" t="str">
            <v/>
          </cell>
        </row>
        <row r="857">
          <cell r="B857"/>
          <cell r="C857"/>
          <cell r="H857" t="str">
            <v/>
          </cell>
        </row>
        <row r="858">
          <cell r="B858"/>
          <cell r="C858"/>
          <cell r="H858" t="str">
            <v/>
          </cell>
        </row>
        <row r="859">
          <cell r="B859"/>
          <cell r="C859"/>
          <cell r="H859" t="str">
            <v/>
          </cell>
        </row>
        <row r="860">
          <cell r="B860"/>
          <cell r="C860"/>
          <cell r="H860" t="str">
            <v/>
          </cell>
        </row>
        <row r="861">
          <cell r="B861"/>
          <cell r="C861"/>
          <cell r="H861" t="str">
            <v/>
          </cell>
        </row>
        <row r="862">
          <cell r="B862"/>
          <cell r="C862"/>
          <cell r="H862" t="str">
            <v/>
          </cell>
        </row>
        <row r="863">
          <cell r="B863"/>
          <cell r="C863"/>
          <cell r="H863" t="str">
            <v/>
          </cell>
        </row>
        <row r="864">
          <cell r="B864"/>
          <cell r="C864"/>
          <cell r="H864" t="str">
            <v/>
          </cell>
        </row>
        <row r="865">
          <cell r="B865"/>
          <cell r="C865"/>
          <cell r="H865" t="str">
            <v/>
          </cell>
        </row>
        <row r="866">
          <cell r="B866"/>
          <cell r="C866"/>
          <cell r="H866" t="str">
            <v/>
          </cell>
        </row>
        <row r="867">
          <cell r="B867"/>
          <cell r="C867"/>
          <cell r="H867" t="str">
            <v/>
          </cell>
        </row>
        <row r="868">
          <cell r="B868"/>
          <cell r="C868"/>
          <cell r="H868" t="str">
            <v/>
          </cell>
        </row>
        <row r="869">
          <cell r="B869"/>
          <cell r="C869"/>
          <cell r="H869" t="str">
            <v/>
          </cell>
        </row>
        <row r="870">
          <cell r="B870"/>
          <cell r="C870"/>
          <cell r="H870" t="str">
            <v/>
          </cell>
        </row>
        <row r="871">
          <cell r="B871"/>
          <cell r="C871"/>
          <cell r="H871" t="str">
            <v/>
          </cell>
        </row>
        <row r="872">
          <cell r="B872"/>
          <cell r="C872"/>
          <cell r="H872" t="str">
            <v/>
          </cell>
        </row>
        <row r="873">
          <cell r="B873"/>
          <cell r="C873"/>
          <cell r="H873" t="str">
            <v/>
          </cell>
        </row>
        <row r="874">
          <cell r="B874"/>
          <cell r="C874"/>
          <cell r="H874" t="str">
            <v/>
          </cell>
        </row>
        <row r="875">
          <cell r="B875"/>
          <cell r="C875"/>
          <cell r="H875" t="str">
            <v/>
          </cell>
        </row>
        <row r="876">
          <cell r="B876"/>
          <cell r="C876"/>
          <cell r="H876" t="str">
            <v/>
          </cell>
        </row>
        <row r="877">
          <cell r="B877"/>
          <cell r="C877"/>
          <cell r="H877" t="str">
            <v/>
          </cell>
        </row>
        <row r="878">
          <cell r="B878"/>
          <cell r="C878"/>
          <cell r="H878" t="str">
            <v/>
          </cell>
        </row>
        <row r="879">
          <cell r="B879"/>
          <cell r="C879"/>
          <cell r="H879" t="str">
            <v/>
          </cell>
        </row>
        <row r="880">
          <cell r="B880"/>
          <cell r="C880"/>
          <cell r="H880" t="str">
            <v/>
          </cell>
        </row>
        <row r="881">
          <cell r="B881"/>
          <cell r="C881"/>
          <cell r="H881" t="str">
            <v/>
          </cell>
        </row>
        <row r="882">
          <cell r="B882"/>
          <cell r="C882"/>
          <cell r="H882" t="str">
            <v/>
          </cell>
        </row>
        <row r="883">
          <cell r="B883"/>
          <cell r="C883"/>
          <cell r="H883" t="str">
            <v/>
          </cell>
        </row>
        <row r="884">
          <cell r="B884"/>
          <cell r="C884"/>
          <cell r="H884" t="str">
            <v/>
          </cell>
        </row>
        <row r="885">
          <cell r="B885"/>
          <cell r="C885"/>
          <cell r="H885" t="str">
            <v/>
          </cell>
        </row>
        <row r="886">
          <cell r="B886"/>
          <cell r="C886"/>
          <cell r="H886" t="str">
            <v/>
          </cell>
        </row>
        <row r="887">
          <cell r="B887"/>
          <cell r="C887"/>
          <cell r="H887" t="str">
            <v/>
          </cell>
        </row>
        <row r="888">
          <cell r="B888"/>
          <cell r="C888"/>
          <cell r="H888" t="str">
            <v/>
          </cell>
        </row>
        <row r="889">
          <cell r="B889"/>
          <cell r="C889"/>
          <cell r="H889" t="str">
            <v/>
          </cell>
        </row>
        <row r="890">
          <cell r="B890"/>
          <cell r="C890"/>
          <cell r="H890" t="str">
            <v/>
          </cell>
        </row>
        <row r="891">
          <cell r="B891"/>
          <cell r="C891"/>
          <cell r="H891" t="str">
            <v/>
          </cell>
        </row>
        <row r="892">
          <cell r="B892"/>
          <cell r="C892"/>
          <cell r="H892" t="str">
            <v/>
          </cell>
        </row>
        <row r="893">
          <cell r="B893"/>
          <cell r="C893"/>
          <cell r="H893" t="str">
            <v/>
          </cell>
        </row>
        <row r="894">
          <cell r="B894"/>
          <cell r="C894"/>
          <cell r="H894" t="str">
            <v/>
          </cell>
        </row>
        <row r="895">
          <cell r="B895"/>
          <cell r="C895"/>
          <cell r="H895" t="str">
            <v/>
          </cell>
        </row>
        <row r="896">
          <cell r="B896"/>
          <cell r="C896"/>
          <cell r="H896" t="str">
            <v/>
          </cell>
        </row>
        <row r="897">
          <cell r="B897"/>
          <cell r="C897"/>
          <cell r="H897" t="str">
            <v/>
          </cell>
        </row>
        <row r="898">
          <cell r="B898"/>
          <cell r="C898"/>
          <cell r="H898" t="str">
            <v/>
          </cell>
        </row>
        <row r="899">
          <cell r="B899"/>
          <cell r="C899"/>
          <cell r="H899" t="str">
            <v/>
          </cell>
        </row>
        <row r="900">
          <cell r="B900"/>
          <cell r="C900"/>
          <cell r="H900" t="str">
            <v/>
          </cell>
        </row>
        <row r="901">
          <cell r="B901"/>
          <cell r="C901"/>
          <cell r="H901" t="str">
            <v/>
          </cell>
        </row>
        <row r="902">
          <cell r="B902"/>
          <cell r="C902"/>
          <cell r="H902" t="str">
            <v/>
          </cell>
        </row>
        <row r="903">
          <cell r="B903"/>
          <cell r="C903"/>
          <cell r="H903" t="str">
            <v/>
          </cell>
        </row>
        <row r="904">
          <cell r="B904"/>
          <cell r="C904"/>
          <cell r="H904" t="str">
            <v/>
          </cell>
        </row>
        <row r="905">
          <cell r="B905"/>
          <cell r="C905"/>
          <cell r="H905" t="str">
            <v/>
          </cell>
        </row>
        <row r="906">
          <cell r="B906"/>
          <cell r="C906"/>
          <cell r="H906" t="str">
            <v/>
          </cell>
        </row>
        <row r="907">
          <cell r="B907"/>
          <cell r="C907"/>
          <cell r="H907" t="str">
            <v/>
          </cell>
        </row>
        <row r="908">
          <cell r="B908"/>
          <cell r="C908"/>
          <cell r="H908" t="str">
            <v/>
          </cell>
        </row>
        <row r="909">
          <cell r="B909"/>
          <cell r="C909"/>
          <cell r="H909" t="str">
            <v/>
          </cell>
        </row>
        <row r="910">
          <cell r="B910"/>
          <cell r="C910"/>
          <cell r="H910" t="str">
            <v/>
          </cell>
        </row>
        <row r="911">
          <cell r="B911"/>
          <cell r="C911"/>
          <cell r="H911" t="str">
            <v/>
          </cell>
        </row>
        <row r="912">
          <cell r="B912"/>
          <cell r="C912"/>
          <cell r="H912" t="str">
            <v/>
          </cell>
        </row>
        <row r="913">
          <cell r="B913"/>
          <cell r="C913"/>
          <cell r="H913" t="str">
            <v/>
          </cell>
        </row>
        <row r="914">
          <cell r="B914"/>
          <cell r="C914"/>
          <cell r="H914" t="str">
            <v/>
          </cell>
        </row>
        <row r="915">
          <cell r="B915"/>
          <cell r="C915"/>
          <cell r="H915" t="str">
            <v/>
          </cell>
        </row>
        <row r="916">
          <cell r="B916"/>
          <cell r="C916"/>
          <cell r="H916" t="str">
            <v/>
          </cell>
        </row>
        <row r="917">
          <cell r="B917"/>
          <cell r="C917"/>
          <cell r="H917" t="str">
            <v/>
          </cell>
        </row>
        <row r="918">
          <cell r="B918"/>
          <cell r="C918"/>
          <cell r="H918" t="str">
            <v/>
          </cell>
        </row>
        <row r="919">
          <cell r="B919"/>
          <cell r="C919"/>
          <cell r="H919" t="str">
            <v/>
          </cell>
        </row>
        <row r="920">
          <cell r="B920"/>
          <cell r="C920"/>
          <cell r="H920" t="str">
            <v/>
          </cell>
        </row>
        <row r="921">
          <cell r="B921"/>
          <cell r="C921"/>
          <cell r="H921" t="str">
            <v/>
          </cell>
        </row>
        <row r="922">
          <cell r="B922"/>
          <cell r="C922"/>
          <cell r="H922" t="str">
            <v/>
          </cell>
        </row>
        <row r="923">
          <cell r="B923"/>
          <cell r="C923"/>
          <cell r="H923" t="str">
            <v/>
          </cell>
        </row>
        <row r="924">
          <cell r="B924"/>
          <cell r="C924"/>
          <cell r="H924" t="str">
            <v/>
          </cell>
        </row>
        <row r="925">
          <cell r="B925"/>
          <cell r="C925"/>
          <cell r="H925" t="str">
            <v/>
          </cell>
        </row>
        <row r="926">
          <cell r="B926"/>
          <cell r="C926"/>
          <cell r="H926" t="str">
            <v/>
          </cell>
        </row>
        <row r="927">
          <cell r="B927"/>
          <cell r="C927"/>
          <cell r="H927" t="str">
            <v/>
          </cell>
        </row>
        <row r="928">
          <cell r="B928"/>
          <cell r="C928"/>
          <cell r="H928" t="str">
            <v/>
          </cell>
        </row>
        <row r="929">
          <cell r="B929"/>
          <cell r="C929"/>
          <cell r="H929" t="str">
            <v/>
          </cell>
        </row>
        <row r="930">
          <cell r="B930"/>
          <cell r="C930"/>
          <cell r="H930" t="str">
            <v/>
          </cell>
        </row>
        <row r="931">
          <cell r="B931"/>
          <cell r="C931"/>
          <cell r="H931" t="str">
            <v/>
          </cell>
        </row>
        <row r="932">
          <cell r="B932"/>
          <cell r="C932"/>
          <cell r="H932" t="str">
            <v/>
          </cell>
        </row>
        <row r="933">
          <cell r="B933"/>
          <cell r="C933"/>
          <cell r="H933" t="str">
            <v/>
          </cell>
        </row>
        <row r="934">
          <cell r="B934"/>
          <cell r="C934"/>
          <cell r="H934" t="str">
            <v/>
          </cell>
        </row>
        <row r="935">
          <cell r="B935"/>
          <cell r="C935"/>
          <cell r="H935" t="str">
            <v/>
          </cell>
        </row>
        <row r="936">
          <cell r="B936"/>
          <cell r="C936"/>
          <cell r="H936" t="str">
            <v/>
          </cell>
        </row>
        <row r="937">
          <cell r="B937"/>
          <cell r="C937"/>
          <cell r="H937" t="str">
            <v/>
          </cell>
        </row>
        <row r="938">
          <cell r="B938"/>
          <cell r="C938"/>
          <cell r="H938" t="str">
            <v/>
          </cell>
        </row>
        <row r="939">
          <cell r="B939"/>
          <cell r="C939"/>
          <cell r="H939" t="str">
            <v/>
          </cell>
        </row>
        <row r="940">
          <cell r="B940"/>
          <cell r="C940"/>
          <cell r="H940" t="str">
            <v/>
          </cell>
        </row>
        <row r="941">
          <cell r="B941"/>
          <cell r="C941"/>
          <cell r="H941" t="str">
            <v/>
          </cell>
        </row>
        <row r="942">
          <cell r="B942"/>
          <cell r="C942"/>
          <cell r="H942" t="str">
            <v/>
          </cell>
        </row>
        <row r="943">
          <cell r="B943"/>
          <cell r="C943"/>
          <cell r="H943" t="str">
            <v/>
          </cell>
        </row>
        <row r="944">
          <cell r="B944"/>
          <cell r="C944"/>
          <cell r="H944" t="str">
            <v/>
          </cell>
        </row>
        <row r="945">
          <cell r="B945"/>
          <cell r="C945"/>
          <cell r="H945" t="str">
            <v/>
          </cell>
        </row>
        <row r="946">
          <cell r="B946"/>
          <cell r="C946"/>
          <cell r="H946" t="str">
            <v/>
          </cell>
        </row>
        <row r="947">
          <cell r="B947"/>
          <cell r="C947"/>
          <cell r="H947" t="str">
            <v/>
          </cell>
        </row>
        <row r="948">
          <cell r="B948"/>
          <cell r="C948"/>
          <cell r="H948" t="str">
            <v/>
          </cell>
        </row>
        <row r="949">
          <cell r="B949"/>
          <cell r="C949"/>
          <cell r="H949" t="str">
            <v/>
          </cell>
        </row>
        <row r="950">
          <cell r="B950"/>
          <cell r="C950"/>
          <cell r="H950" t="str">
            <v/>
          </cell>
        </row>
        <row r="951">
          <cell r="B951"/>
          <cell r="C951"/>
          <cell r="H951" t="str">
            <v/>
          </cell>
        </row>
        <row r="952">
          <cell r="B952"/>
          <cell r="C952"/>
          <cell r="H952" t="str">
            <v/>
          </cell>
        </row>
        <row r="953">
          <cell r="B953"/>
          <cell r="C953"/>
          <cell r="H953" t="str">
            <v/>
          </cell>
        </row>
        <row r="954">
          <cell r="B954"/>
          <cell r="C954"/>
          <cell r="H954" t="str">
            <v/>
          </cell>
        </row>
        <row r="955">
          <cell r="B955"/>
          <cell r="C955"/>
          <cell r="H955" t="str">
            <v/>
          </cell>
        </row>
        <row r="956">
          <cell r="B956"/>
          <cell r="C956"/>
          <cell r="H956" t="str">
            <v/>
          </cell>
        </row>
        <row r="957">
          <cell r="B957"/>
          <cell r="C957"/>
          <cell r="H957" t="str">
            <v/>
          </cell>
        </row>
        <row r="958">
          <cell r="B958"/>
          <cell r="C958"/>
          <cell r="H958" t="str">
            <v/>
          </cell>
        </row>
        <row r="959">
          <cell r="B959"/>
          <cell r="C959"/>
          <cell r="H959" t="str">
            <v/>
          </cell>
        </row>
        <row r="960">
          <cell r="B960"/>
          <cell r="C960"/>
          <cell r="H960" t="str">
            <v/>
          </cell>
        </row>
        <row r="961">
          <cell r="B961"/>
          <cell r="C961"/>
          <cell r="H961" t="str">
            <v/>
          </cell>
        </row>
        <row r="962">
          <cell r="B962"/>
          <cell r="C962"/>
          <cell r="H962" t="str">
            <v/>
          </cell>
        </row>
        <row r="963">
          <cell r="B963"/>
          <cell r="C963"/>
          <cell r="H963" t="str">
            <v/>
          </cell>
        </row>
        <row r="964">
          <cell r="B964"/>
          <cell r="C964"/>
          <cell r="H964" t="str">
            <v/>
          </cell>
        </row>
        <row r="965">
          <cell r="B965"/>
          <cell r="C965"/>
          <cell r="H965" t="str">
            <v/>
          </cell>
        </row>
        <row r="966">
          <cell r="B966"/>
          <cell r="C966"/>
          <cell r="H966" t="str">
            <v/>
          </cell>
        </row>
        <row r="967">
          <cell r="B967"/>
          <cell r="C967"/>
          <cell r="H967" t="str">
            <v/>
          </cell>
        </row>
        <row r="968">
          <cell r="B968"/>
          <cell r="C968"/>
          <cell r="H968" t="str">
            <v/>
          </cell>
        </row>
        <row r="969">
          <cell r="B969"/>
          <cell r="C969"/>
          <cell r="H969" t="str">
            <v/>
          </cell>
        </row>
        <row r="970">
          <cell r="B970"/>
          <cell r="C970"/>
          <cell r="H970" t="str">
            <v/>
          </cell>
        </row>
        <row r="971">
          <cell r="B971"/>
          <cell r="C971"/>
          <cell r="H971" t="str">
            <v/>
          </cell>
        </row>
        <row r="972">
          <cell r="B972"/>
          <cell r="C972"/>
          <cell r="H972" t="str">
            <v/>
          </cell>
        </row>
        <row r="973">
          <cell r="B973"/>
          <cell r="C973"/>
          <cell r="H973" t="str">
            <v/>
          </cell>
        </row>
        <row r="974">
          <cell r="B974"/>
          <cell r="C974"/>
          <cell r="H974" t="str">
            <v/>
          </cell>
        </row>
        <row r="975">
          <cell r="B975"/>
          <cell r="C975"/>
          <cell r="H975" t="str">
            <v/>
          </cell>
        </row>
        <row r="976">
          <cell r="B976"/>
          <cell r="C976"/>
          <cell r="H976" t="str">
            <v/>
          </cell>
        </row>
        <row r="977">
          <cell r="B977"/>
          <cell r="C977"/>
          <cell r="H977" t="str">
            <v/>
          </cell>
        </row>
        <row r="978">
          <cell r="B978"/>
          <cell r="C978"/>
          <cell r="H978" t="str">
            <v/>
          </cell>
        </row>
        <row r="979">
          <cell r="B979"/>
          <cell r="C979"/>
          <cell r="H979" t="str">
            <v/>
          </cell>
        </row>
        <row r="980">
          <cell r="B980"/>
          <cell r="C980"/>
          <cell r="H980" t="str">
            <v/>
          </cell>
        </row>
        <row r="981">
          <cell r="B981"/>
          <cell r="C981"/>
          <cell r="H981" t="str">
            <v/>
          </cell>
        </row>
        <row r="982">
          <cell r="B982"/>
          <cell r="C982"/>
          <cell r="H982" t="str">
            <v/>
          </cell>
        </row>
        <row r="983">
          <cell r="B983"/>
          <cell r="C983"/>
          <cell r="H983" t="str">
            <v/>
          </cell>
        </row>
        <row r="984">
          <cell r="B984"/>
          <cell r="C984"/>
          <cell r="H984" t="str">
            <v/>
          </cell>
        </row>
        <row r="985">
          <cell r="B985"/>
          <cell r="C985"/>
          <cell r="H985" t="str">
            <v/>
          </cell>
        </row>
        <row r="986">
          <cell r="B986"/>
          <cell r="C986"/>
          <cell r="H986" t="str">
            <v/>
          </cell>
        </row>
        <row r="987">
          <cell r="B987"/>
          <cell r="C987"/>
          <cell r="H987" t="str">
            <v/>
          </cell>
        </row>
        <row r="988">
          <cell r="B988"/>
          <cell r="C988"/>
          <cell r="H988" t="str">
            <v/>
          </cell>
        </row>
        <row r="989">
          <cell r="B989"/>
          <cell r="C989"/>
          <cell r="H989" t="str">
            <v/>
          </cell>
        </row>
        <row r="990">
          <cell r="B990"/>
          <cell r="C990"/>
          <cell r="H990" t="str">
            <v/>
          </cell>
        </row>
        <row r="991">
          <cell r="B991"/>
          <cell r="C991"/>
          <cell r="H991" t="str">
            <v/>
          </cell>
        </row>
        <row r="992">
          <cell r="B992"/>
          <cell r="C992"/>
          <cell r="H992" t="str">
            <v/>
          </cell>
        </row>
        <row r="993">
          <cell r="B993"/>
          <cell r="C993"/>
          <cell r="H993" t="str">
            <v/>
          </cell>
        </row>
        <row r="994">
          <cell r="B994"/>
          <cell r="C994"/>
          <cell r="H994" t="str">
            <v/>
          </cell>
        </row>
        <row r="995">
          <cell r="B995"/>
          <cell r="C995"/>
          <cell r="H995" t="str">
            <v/>
          </cell>
        </row>
        <row r="996">
          <cell r="B996"/>
          <cell r="C996"/>
          <cell r="H996" t="str">
            <v/>
          </cell>
        </row>
        <row r="997">
          <cell r="B997"/>
          <cell r="C997"/>
          <cell r="H997" t="str">
            <v/>
          </cell>
        </row>
        <row r="998">
          <cell r="B998"/>
          <cell r="C998"/>
          <cell r="H998" t="str">
            <v/>
          </cell>
        </row>
        <row r="999">
          <cell r="B999"/>
          <cell r="C999"/>
          <cell r="H999" t="str">
            <v/>
          </cell>
        </row>
        <row r="1000">
          <cell r="B1000"/>
          <cell r="C1000"/>
          <cell r="H1000" t="str">
            <v/>
          </cell>
        </row>
      </sheetData>
      <sheetData sheetId="2"/>
      <sheetData sheetId="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36"/>
  <sheetViews>
    <sheetView showGridLines="0" zoomScaleNormal="100" workbookViewId="0">
      <selection activeCell="P27" sqref="P27"/>
    </sheetView>
  </sheetViews>
  <sheetFormatPr baseColWidth="10" defaultColWidth="12.5" defaultRowHeight="15.75" customHeight="1" x14ac:dyDescent="0.15"/>
  <cols>
    <col min="1" max="1" width="4.83203125" customWidth="1"/>
    <col min="2" max="2" width="4.5" customWidth="1"/>
    <col min="3" max="3" width="19.1640625" customWidth="1"/>
    <col min="4" max="4" width="25.33203125" customWidth="1"/>
    <col min="5" max="5" width="31.5" customWidth="1"/>
    <col min="6" max="6" width="68.33203125" customWidth="1"/>
    <col min="7" max="7" width="4.5" customWidth="1"/>
    <col min="8" max="8" width="19.5" customWidth="1"/>
    <col min="9" max="11" width="13.5" customWidth="1"/>
    <col min="12" max="12" width="4" customWidth="1"/>
    <col min="13" max="13" width="16.1640625" customWidth="1"/>
    <col min="14" max="16" width="13.5" customWidth="1"/>
    <col min="17" max="17" width="4.6640625" customWidth="1"/>
    <col min="18" max="18" width="4.5" customWidth="1"/>
  </cols>
  <sheetData>
    <row r="1" spans="1:18" ht="21" customHeight="1" x14ac:dyDescent="0.15">
      <c r="A1" s="1"/>
      <c r="B1" s="1"/>
      <c r="C1" s="1"/>
      <c r="D1" s="1"/>
      <c r="E1" s="1"/>
      <c r="F1" s="1"/>
      <c r="G1" s="1"/>
      <c r="H1" s="1"/>
      <c r="I1" s="1"/>
      <c r="J1" s="1"/>
      <c r="K1" s="1"/>
      <c r="L1" s="1"/>
      <c r="M1" s="1"/>
      <c r="N1" s="1"/>
      <c r="O1" s="1"/>
      <c r="P1" s="1"/>
      <c r="Q1" s="1"/>
      <c r="R1" s="1"/>
    </row>
    <row r="2" spans="1:18" ht="21.75" customHeight="1" x14ac:dyDescent="0.15">
      <c r="A2" s="1"/>
      <c r="B2" s="2"/>
      <c r="C2" s="49" t="s">
        <v>1363</v>
      </c>
      <c r="D2" s="50"/>
      <c r="E2" s="50"/>
      <c r="F2" s="50"/>
      <c r="G2" s="50"/>
      <c r="H2" s="50"/>
      <c r="I2" s="50"/>
      <c r="J2" s="50"/>
      <c r="K2" s="50"/>
      <c r="L2" s="50"/>
      <c r="M2" s="50"/>
      <c r="N2" s="50"/>
      <c r="O2" s="50"/>
      <c r="P2" s="50"/>
      <c r="Q2" s="51"/>
      <c r="R2" s="3"/>
    </row>
    <row r="3" spans="1:18" ht="21.75" customHeight="1" x14ac:dyDescent="0.15">
      <c r="A3" s="1"/>
      <c r="B3" s="4"/>
      <c r="C3" s="43"/>
      <c r="D3" s="43"/>
      <c r="E3" s="43"/>
      <c r="F3" s="43"/>
      <c r="G3" s="43"/>
      <c r="H3" s="43"/>
      <c r="I3" s="43"/>
      <c r="J3" s="43"/>
      <c r="K3" s="43"/>
      <c r="L3" s="43"/>
      <c r="M3" s="43"/>
      <c r="N3" s="43"/>
      <c r="O3" s="43"/>
      <c r="P3" s="43"/>
      <c r="Q3" s="52"/>
      <c r="R3" s="3"/>
    </row>
    <row r="4" spans="1:18" ht="21.75" customHeight="1" x14ac:dyDescent="0.15">
      <c r="A4" s="1"/>
      <c r="B4" s="4"/>
      <c r="C4" s="43"/>
      <c r="D4" s="43"/>
      <c r="E4" s="43"/>
      <c r="F4" s="43"/>
      <c r="G4" s="43"/>
      <c r="H4" s="43"/>
      <c r="I4" s="43"/>
      <c r="J4" s="43"/>
      <c r="K4" s="43"/>
      <c r="L4" s="43"/>
      <c r="M4" s="43"/>
      <c r="N4" s="43"/>
      <c r="O4" s="43"/>
      <c r="P4" s="43"/>
      <c r="Q4" s="52"/>
      <c r="R4" s="1"/>
    </row>
    <row r="5" spans="1:18" ht="5.25" customHeight="1" x14ac:dyDescent="0.15">
      <c r="A5" s="1"/>
      <c r="B5" s="5"/>
      <c r="C5" s="1"/>
      <c r="D5" s="1"/>
      <c r="E5" s="1"/>
      <c r="F5" s="1"/>
      <c r="G5" s="3"/>
      <c r="H5" s="3"/>
      <c r="I5" s="3"/>
      <c r="J5" s="6"/>
      <c r="K5" s="6"/>
      <c r="L5" s="1"/>
      <c r="M5" s="1"/>
      <c r="N5" s="1"/>
      <c r="O5" s="1"/>
      <c r="P5" s="1"/>
      <c r="Q5" s="7"/>
      <c r="R5" s="1"/>
    </row>
    <row r="6" spans="1:18" ht="32.25" customHeight="1" x14ac:dyDescent="0.15">
      <c r="A6" s="1"/>
      <c r="B6" s="5"/>
      <c r="C6" s="53" t="s">
        <v>71</v>
      </c>
      <c r="D6" s="54"/>
      <c r="E6" s="55" t="s">
        <v>1336</v>
      </c>
      <c r="F6" s="54"/>
      <c r="G6" s="3"/>
      <c r="H6" s="3"/>
      <c r="I6" s="3"/>
      <c r="J6" s="3"/>
      <c r="K6" s="3"/>
      <c r="L6" s="3"/>
      <c r="M6" s="3"/>
      <c r="N6" s="3"/>
      <c r="O6" s="3"/>
      <c r="P6" s="3"/>
      <c r="Q6" s="8"/>
      <c r="R6" s="3"/>
    </row>
    <row r="7" spans="1:18" ht="1.5" customHeight="1" x14ac:dyDescent="0.15">
      <c r="A7" s="1"/>
      <c r="B7" s="5"/>
      <c r="C7" s="1"/>
      <c r="D7" s="1"/>
      <c r="E7" s="1"/>
      <c r="F7" s="1"/>
      <c r="G7" s="3"/>
      <c r="H7" s="3"/>
      <c r="I7" s="3"/>
      <c r="J7" s="3"/>
      <c r="K7" s="3"/>
      <c r="L7" s="3"/>
      <c r="M7" s="3"/>
      <c r="N7" s="3"/>
      <c r="O7" s="3"/>
      <c r="P7" s="3"/>
      <c r="Q7" s="8"/>
      <c r="R7" s="3"/>
    </row>
    <row r="8" spans="1:18" ht="31.5" customHeight="1" x14ac:dyDescent="0.15">
      <c r="A8" s="1"/>
      <c r="B8" s="5"/>
      <c r="C8" s="56" t="s">
        <v>1333</v>
      </c>
      <c r="D8" s="43"/>
      <c r="E8" s="43"/>
      <c r="F8" s="9" t="s">
        <v>1343</v>
      </c>
      <c r="G8" s="3"/>
      <c r="H8" s="57" t="s">
        <v>1362</v>
      </c>
      <c r="I8" s="58"/>
      <c r="J8" s="58"/>
      <c r="K8" s="59"/>
      <c r="L8" s="1"/>
      <c r="M8" s="60" t="s">
        <v>1364</v>
      </c>
      <c r="N8" s="61"/>
      <c r="O8" s="61"/>
      <c r="P8" s="61"/>
      <c r="Q8" s="7"/>
      <c r="R8" s="1"/>
    </row>
    <row r="9" spans="1:18" ht="78" customHeight="1" x14ac:dyDescent="0.15">
      <c r="A9" s="1"/>
      <c r="B9" s="5"/>
      <c r="C9" s="1"/>
      <c r="D9" s="1"/>
      <c r="E9" s="1"/>
      <c r="F9" s="1"/>
      <c r="G9" s="3"/>
      <c r="H9" s="42"/>
      <c r="I9" s="43"/>
      <c r="J9" s="43"/>
      <c r="K9" s="44"/>
      <c r="L9" s="1"/>
      <c r="M9" s="1"/>
      <c r="N9" s="1"/>
      <c r="O9" s="1"/>
      <c r="P9" s="1"/>
      <c r="Q9" s="7"/>
      <c r="R9" s="1"/>
    </row>
    <row r="10" spans="1:18" ht="21" customHeight="1" x14ac:dyDescent="0.15">
      <c r="A10" s="1"/>
      <c r="B10" s="5"/>
      <c r="C10" s="1"/>
      <c r="D10" s="1"/>
      <c r="E10" s="1"/>
      <c r="F10" s="1"/>
      <c r="G10" s="1"/>
      <c r="H10" s="45"/>
      <c r="I10" s="43"/>
      <c r="J10" s="43"/>
      <c r="K10" s="44"/>
      <c r="L10" s="1"/>
      <c r="M10" s="1"/>
      <c r="N10" s="1"/>
      <c r="O10" s="1"/>
      <c r="P10" s="1"/>
      <c r="Q10" s="7"/>
      <c r="R10" s="1"/>
    </row>
    <row r="11" spans="1:18" ht="21" customHeight="1" x14ac:dyDescent="0.15">
      <c r="A11" s="1"/>
      <c r="B11" s="5"/>
      <c r="C11" s="1"/>
      <c r="D11" s="1"/>
      <c r="E11" s="1"/>
      <c r="F11" s="1"/>
      <c r="G11" s="1"/>
      <c r="H11" s="45"/>
      <c r="I11" s="43"/>
      <c r="J11" s="43"/>
      <c r="K11" s="44"/>
      <c r="L11" s="1"/>
      <c r="M11" s="1"/>
      <c r="N11" s="1"/>
      <c r="O11" s="1"/>
      <c r="P11" s="1"/>
      <c r="Q11" s="7"/>
      <c r="R11" s="1"/>
    </row>
    <row r="12" spans="1:18" ht="21" customHeight="1" x14ac:dyDescent="0.15">
      <c r="A12" s="1"/>
      <c r="B12" s="5"/>
      <c r="C12" s="1"/>
      <c r="D12" s="1"/>
      <c r="E12" s="1"/>
      <c r="F12" s="1"/>
      <c r="G12" s="1"/>
      <c r="H12" s="45"/>
      <c r="I12" s="43"/>
      <c r="J12" s="43"/>
      <c r="K12" s="44"/>
      <c r="L12" s="1"/>
      <c r="M12" s="1"/>
      <c r="N12" s="1"/>
      <c r="O12" s="1"/>
      <c r="P12" s="1"/>
      <c r="Q12" s="7"/>
      <c r="R12" s="1"/>
    </row>
    <row r="13" spans="1:18" ht="21" customHeight="1" x14ac:dyDescent="0.15">
      <c r="A13" s="1"/>
      <c r="B13" s="5"/>
      <c r="C13" s="1"/>
      <c r="D13" s="1"/>
      <c r="E13" s="1"/>
      <c r="F13" s="1"/>
      <c r="G13" s="1"/>
      <c r="H13" s="45"/>
      <c r="I13" s="43"/>
      <c r="J13" s="43"/>
      <c r="K13" s="44"/>
      <c r="L13" s="1"/>
      <c r="M13" s="1"/>
      <c r="N13" s="1"/>
      <c r="O13" s="1"/>
      <c r="P13" s="1"/>
      <c r="Q13" s="7"/>
      <c r="R13" s="1"/>
    </row>
    <row r="14" spans="1:18" ht="21" customHeight="1" x14ac:dyDescent="0.15">
      <c r="A14" s="1"/>
      <c r="B14" s="5"/>
      <c r="C14" s="1"/>
      <c r="D14" s="1"/>
      <c r="E14" s="1"/>
      <c r="F14" s="1"/>
      <c r="G14" s="1"/>
      <c r="H14" s="45"/>
      <c r="I14" s="43"/>
      <c r="J14" s="43"/>
      <c r="K14" s="44"/>
      <c r="L14" s="1"/>
      <c r="M14" s="1"/>
      <c r="N14" s="1"/>
      <c r="O14" s="1"/>
      <c r="P14" s="1"/>
      <c r="Q14" s="7"/>
      <c r="R14" s="1"/>
    </row>
    <row r="15" spans="1:18" ht="21" customHeight="1" x14ac:dyDescent="0.15">
      <c r="A15" s="1"/>
      <c r="B15" s="5"/>
      <c r="C15" s="1"/>
      <c r="D15" s="1"/>
      <c r="E15" s="1"/>
      <c r="F15" s="1"/>
      <c r="G15" s="1"/>
      <c r="H15" s="45"/>
      <c r="I15" s="43"/>
      <c r="J15" s="43"/>
      <c r="K15" s="44"/>
      <c r="L15" s="1"/>
      <c r="M15" s="1"/>
      <c r="N15" s="1"/>
      <c r="O15" s="1"/>
      <c r="P15" s="1"/>
      <c r="Q15" s="7"/>
      <c r="R15" s="1"/>
    </row>
    <row r="16" spans="1:18" ht="21" customHeight="1" x14ac:dyDescent="0.15">
      <c r="A16" s="1"/>
      <c r="B16" s="5"/>
      <c r="C16" s="1"/>
      <c r="D16" s="1"/>
      <c r="E16" s="1"/>
      <c r="F16" s="1"/>
      <c r="G16" s="1"/>
      <c r="H16" s="45"/>
      <c r="I16" s="43"/>
      <c r="J16" s="43"/>
      <c r="K16" s="44"/>
      <c r="L16" s="1"/>
      <c r="M16" s="1"/>
      <c r="N16" s="1"/>
      <c r="O16" s="1"/>
      <c r="P16" s="1"/>
      <c r="Q16" s="7"/>
      <c r="R16" s="1"/>
    </row>
    <row r="17" spans="1:18" ht="21" customHeight="1" x14ac:dyDescent="0.15">
      <c r="A17" s="1"/>
      <c r="B17" s="5"/>
      <c r="C17" s="1"/>
      <c r="D17" s="1"/>
      <c r="E17" s="1"/>
      <c r="F17" s="1"/>
      <c r="G17" s="1"/>
      <c r="H17" s="45"/>
      <c r="I17" s="43"/>
      <c r="J17" s="43"/>
      <c r="K17" s="44"/>
      <c r="L17" s="1"/>
      <c r="M17" s="1"/>
      <c r="N17" s="1"/>
      <c r="O17" s="1"/>
      <c r="P17" s="1"/>
      <c r="Q17" s="7"/>
      <c r="R17" s="1"/>
    </row>
    <row r="18" spans="1:18" ht="35.25" customHeight="1" x14ac:dyDescent="0.15">
      <c r="A18" s="1"/>
      <c r="B18" s="5"/>
      <c r="C18" s="1"/>
      <c r="D18" s="1"/>
      <c r="E18" s="1"/>
      <c r="F18" s="1"/>
      <c r="G18" s="1"/>
      <c r="H18" s="46"/>
      <c r="I18" s="47"/>
      <c r="J18" s="47"/>
      <c r="K18" s="48"/>
      <c r="L18" s="1"/>
      <c r="M18" s="1"/>
      <c r="N18" s="1"/>
      <c r="O18" s="1"/>
      <c r="P18" s="1"/>
      <c r="Q18" s="7"/>
      <c r="R18" s="1"/>
    </row>
    <row r="19" spans="1:18" ht="24" customHeight="1" x14ac:dyDescent="0.15">
      <c r="A19" s="1"/>
      <c r="B19" s="5"/>
      <c r="C19" s="1"/>
      <c r="D19" s="1"/>
      <c r="E19" s="1"/>
      <c r="F19" s="1"/>
      <c r="G19" s="1"/>
      <c r="H19" s="1"/>
      <c r="I19" s="1"/>
      <c r="J19" s="1"/>
      <c r="K19" s="1"/>
      <c r="L19" s="1"/>
      <c r="M19" s="1"/>
      <c r="N19" s="1"/>
      <c r="O19" s="1"/>
      <c r="P19" s="1"/>
      <c r="Q19" s="7"/>
      <c r="R19" s="1"/>
    </row>
    <row r="20" spans="1:18" ht="32.25" customHeight="1" x14ac:dyDescent="0.15">
      <c r="A20" s="1"/>
      <c r="B20" s="5"/>
      <c r="C20" s="25" t="s">
        <v>1366</v>
      </c>
      <c r="D20" s="39"/>
      <c r="E20" s="62" t="s">
        <v>1368</v>
      </c>
      <c r="F20" s="63"/>
      <c r="G20" s="39"/>
      <c r="H20" s="39"/>
      <c r="I20" s="39"/>
      <c r="J20" s="39" t="s">
        <v>1367</v>
      </c>
      <c r="K20" s="39"/>
      <c r="L20" s="39"/>
      <c r="M20" s="39"/>
      <c r="N20" s="39"/>
      <c r="O20" s="39"/>
      <c r="P20" s="39"/>
      <c r="Q20" s="7"/>
      <c r="R20" s="1"/>
    </row>
    <row r="21" spans="1:18" ht="24" customHeight="1" x14ac:dyDescent="0.15">
      <c r="A21" s="1"/>
      <c r="B21" s="5"/>
      <c r="C21" s="26" t="str" cm="1">
        <f t="array" ref="C21">IFERROR(_xlfn._xlws.FILTER('[1]Customers Data'!C4:C1000,TEXT('[1]Customers Data'!B4:B1000,"MMMM")=E6),"")</f>
        <v/>
      </c>
      <c r="D21" s="38" t="str" cm="1">
        <f t="array" ref="D21">IFERROR(_xlfn._xlws.FILTER('[1]Customers Data'!H4:H1000,TEXT('[1]Customers Data'!B4:B1000,"MMMM")=E6),"")</f>
        <v/>
      </c>
      <c r="E21" s="40" t="s">
        <v>1369</v>
      </c>
      <c r="F21" s="41" t="s">
        <v>1370</v>
      </c>
      <c r="G21" s="1"/>
      <c r="H21" s="1"/>
      <c r="I21" s="1"/>
      <c r="J21" s="1"/>
      <c r="K21" s="1"/>
      <c r="L21" s="1"/>
      <c r="M21" s="1"/>
      <c r="N21" s="1"/>
      <c r="O21" s="1"/>
      <c r="P21" s="1"/>
      <c r="Q21" s="7"/>
      <c r="R21" s="1"/>
    </row>
    <row r="22" spans="1:18" ht="24" customHeight="1" x14ac:dyDescent="0.15">
      <c r="A22" s="1"/>
      <c r="B22" s="5"/>
      <c r="C22" s="26"/>
      <c r="D22" s="26"/>
      <c r="E22" s="15"/>
      <c r="F22" s="15"/>
      <c r="G22" s="1"/>
      <c r="H22" s="1"/>
      <c r="I22" s="1"/>
      <c r="J22" s="1"/>
      <c r="K22" s="1"/>
      <c r="L22" s="1"/>
      <c r="M22" s="1"/>
      <c r="N22" s="1"/>
      <c r="O22" s="1"/>
      <c r="P22" s="1"/>
      <c r="Q22" s="7"/>
      <c r="R22" s="1"/>
    </row>
    <row r="23" spans="1:18" ht="24" customHeight="1" x14ac:dyDescent="0.15">
      <c r="A23" s="1"/>
      <c r="B23" s="5"/>
      <c r="C23" s="26"/>
      <c r="D23" s="26"/>
      <c r="E23" s="26"/>
      <c r="F23" s="15"/>
      <c r="G23" s="1"/>
      <c r="H23" s="1"/>
      <c r="I23" s="1"/>
      <c r="J23" s="1"/>
      <c r="K23" s="1"/>
      <c r="L23" s="1"/>
      <c r="M23" s="1"/>
      <c r="N23" s="1"/>
      <c r="O23" s="1"/>
      <c r="P23" s="1"/>
      <c r="Q23" s="7"/>
      <c r="R23" s="1"/>
    </row>
    <row r="24" spans="1:18" ht="24" customHeight="1" x14ac:dyDescent="0.15">
      <c r="A24" s="1"/>
      <c r="B24" s="5"/>
      <c r="C24" s="26"/>
      <c r="D24" s="26"/>
      <c r="E24" s="26"/>
      <c r="F24" s="15"/>
      <c r="G24" s="1"/>
      <c r="H24" s="1"/>
      <c r="I24" s="1"/>
      <c r="J24" s="1"/>
      <c r="K24" s="1"/>
      <c r="L24" s="1"/>
      <c r="M24" s="1"/>
      <c r="N24" s="1"/>
      <c r="O24" s="1"/>
      <c r="P24" s="1"/>
      <c r="Q24" s="7"/>
      <c r="R24" s="1"/>
    </row>
    <row r="25" spans="1:18" ht="24" customHeight="1" x14ac:dyDescent="0.15">
      <c r="A25" s="1"/>
      <c r="B25" s="5"/>
      <c r="C25" s="26"/>
      <c r="D25" s="26"/>
      <c r="E25" s="26"/>
      <c r="F25" s="15"/>
      <c r="G25" s="1"/>
      <c r="H25" s="1"/>
      <c r="I25" s="1"/>
      <c r="J25" s="1"/>
      <c r="K25" s="1"/>
      <c r="L25" s="1"/>
      <c r="M25" s="1"/>
      <c r="N25" s="1"/>
      <c r="O25" s="1"/>
      <c r="P25" s="1"/>
      <c r="Q25" s="7"/>
      <c r="R25" s="1"/>
    </row>
    <row r="26" spans="1:18" ht="24" customHeight="1" x14ac:dyDescent="0.15">
      <c r="A26" s="1"/>
      <c r="B26" s="5"/>
      <c r="C26" s="26"/>
      <c r="D26" s="26"/>
      <c r="E26" s="26"/>
      <c r="F26" s="15"/>
      <c r="G26" s="1"/>
      <c r="H26" s="1"/>
      <c r="I26" s="1"/>
      <c r="J26" s="1"/>
      <c r="K26" s="1"/>
      <c r="L26" s="1"/>
      <c r="M26" s="1"/>
      <c r="N26" s="1"/>
      <c r="O26" s="1"/>
      <c r="P26" s="1"/>
      <c r="Q26" s="7"/>
      <c r="R26" s="1"/>
    </row>
    <row r="27" spans="1:18" ht="24" customHeight="1" x14ac:dyDescent="0.15">
      <c r="A27" s="1"/>
      <c r="B27" s="5"/>
      <c r="C27" s="26"/>
      <c r="D27" s="26"/>
      <c r="E27" s="26"/>
      <c r="F27" s="15"/>
      <c r="G27" s="1"/>
      <c r="H27" s="1"/>
      <c r="I27" s="1"/>
      <c r="J27" s="1"/>
      <c r="K27" s="1"/>
      <c r="L27" s="1"/>
      <c r="M27" s="1"/>
      <c r="N27" s="1"/>
      <c r="O27" s="1"/>
      <c r="P27" s="1"/>
      <c r="Q27" s="7"/>
      <c r="R27" s="1"/>
    </row>
    <row r="28" spans="1:18" ht="24" customHeight="1" x14ac:dyDescent="0.15">
      <c r="A28" s="1"/>
      <c r="B28" s="5"/>
      <c r="C28" s="26"/>
      <c r="D28" s="26"/>
      <c r="E28" s="26"/>
      <c r="F28" s="15"/>
      <c r="G28" s="1"/>
      <c r="H28" s="1"/>
      <c r="I28" s="1"/>
      <c r="J28" s="1"/>
      <c r="K28" s="1"/>
      <c r="L28" s="1"/>
      <c r="M28" s="1"/>
      <c r="N28" s="1"/>
      <c r="O28" s="1"/>
      <c r="P28" s="1"/>
      <c r="Q28" s="7"/>
      <c r="R28" s="1"/>
    </row>
    <row r="29" spans="1:18" ht="24" customHeight="1" x14ac:dyDescent="0.15">
      <c r="A29" s="1"/>
      <c r="B29" s="5"/>
      <c r="C29" s="26"/>
      <c r="D29" s="26"/>
      <c r="E29" s="26"/>
      <c r="F29" s="15"/>
      <c r="G29" s="1"/>
      <c r="H29" s="1"/>
      <c r="I29" s="1"/>
      <c r="J29" s="1"/>
      <c r="K29" s="1"/>
      <c r="L29" s="1"/>
      <c r="M29" s="1"/>
      <c r="N29" s="1"/>
      <c r="O29" s="1"/>
      <c r="P29" s="1"/>
      <c r="Q29" s="7"/>
      <c r="R29" s="1"/>
    </row>
    <row r="30" spans="1:18" ht="24" customHeight="1" x14ac:dyDescent="0.15">
      <c r="A30" s="1"/>
      <c r="B30" s="5"/>
      <c r="C30" s="26"/>
      <c r="D30" s="26"/>
      <c r="E30" s="26"/>
      <c r="F30" s="15"/>
      <c r="G30" s="1"/>
      <c r="H30" s="1"/>
      <c r="I30" s="1"/>
      <c r="J30" s="1"/>
      <c r="K30" s="1"/>
      <c r="L30" s="1"/>
      <c r="M30" s="1"/>
      <c r="N30" s="1"/>
      <c r="O30" s="1"/>
      <c r="P30" s="1"/>
      <c r="Q30" s="7"/>
      <c r="R30" s="1"/>
    </row>
    <row r="31" spans="1:18" ht="24" customHeight="1" x14ac:dyDescent="0.15">
      <c r="A31" s="1"/>
      <c r="B31" s="5"/>
      <c r="C31" s="26"/>
      <c r="D31" s="26"/>
      <c r="E31" s="26"/>
      <c r="G31" s="1"/>
      <c r="H31" s="1"/>
      <c r="I31" s="1"/>
      <c r="J31" s="1"/>
      <c r="K31" s="1"/>
      <c r="L31" s="1"/>
      <c r="M31" s="1"/>
      <c r="N31" s="1"/>
      <c r="O31" s="1"/>
      <c r="P31" s="1"/>
      <c r="Q31" s="7"/>
      <c r="R31" s="1"/>
    </row>
    <row r="32" spans="1:18" ht="24" customHeight="1" x14ac:dyDescent="0.15">
      <c r="A32" s="1"/>
      <c r="B32" s="5"/>
      <c r="C32" s="26"/>
      <c r="D32" s="26"/>
      <c r="E32" s="26"/>
      <c r="F32" s="15"/>
      <c r="G32" s="1"/>
      <c r="H32" s="1"/>
      <c r="I32" s="1"/>
      <c r="J32" s="1"/>
      <c r="K32" s="1"/>
      <c r="L32" s="1"/>
      <c r="M32" s="1"/>
      <c r="N32" s="1"/>
      <c r="O32" s="1"/>
      <c r="P32" s="1"/>
      <c r="Q32" s="7"/>
      <c r="R32" s="1"/>
    </row>
    <row r="33" spans="1:18" ht="24" customHeight="1" x14ac:dyDescent="0.15">
      <c r="A33" s="1"/>
      <c r="B33" s="5"/>
      <c r="C33" s="26"/>
      <c r="D33" s="26"/>
      <c r="E33" s="26"/>
      <c r="F33" s="15"/>
      <c r="G33" s="1"/>
      <c r="H33" s="1"/>
      <c r="I33" s="1"/>
      <c r="J33" s="1"/>
      <c r="K33" s="1"/>
      <c r="L33" s="1"/>
      <c r="M33" s="1"/>
      <c r="N33" s="1"/>
      <c r="O33" s="1"/>
      <c r="P33" s="1"/>
      <c r="Q33" s="7"/>
      <c r="R33" s="1"/>
    </row>
    <row r="34" spans="1:18" ht="24" customHeight="1" x14ac:dyDescent="0.15">
      <c r="A34" s="1"/>
      <c r="B34" s="5"/>
      <c r="C34" s="27"/>
      <c r="D34" s="27"/>
      <c r="E34" s="27"/>
      <c r="F34" s="10"/>
      <c r="G34" s="1"/>
      <c r="H34" s="1"/>
      <c r="I34" s="1"/>
      <c r="J34" s="1"/>
      <c r="K34" s="1"/>
      <c r="L34" s="1"/>
      <c r="M34" s="1"/>
      <c r="N34" s="1"/>
      <c r="O34" s="1"/>
      <c r="P34" s="1"/>
      <c r="Q34" s="7"/>
      <c r="R34" s="1"/>
    </row>
    <row r="35" spans="1:18" ht="27" customHeight="1" x14ac:dyDescent="0.15">
      <c r="A35" s="1"/>
      <c r="B35" s="11"/>
      <c r="C35" s="12"/>
      <c r="D35" s="12"/>
      <c r="E35" s="12"/>
      <c r="F35" s="12"/>
      <c r="G35" s="12"/>
      <c r="H35" s="12"/>
      <c r="I35" s="12"/>
      <c r="J35" s="12"/>
      <c r="K35" s="12"/>
      <c r="L35" s="12"/>
      <c r="M35" s="12"/>
      <c r="N35" s="12"/>
      <c r="O35" s="12"/>
      <c r="P35" s="12"/>
      <c r="Q35" s="13"/>
      <c r="R35" s="1"/>
    </row>
    <row r="36" spans="1:18" ht="21" customHeight="1" x14ac:dyDescent="0.15">
      <c r="A36" s="1"/>
      <c r="B36" s="1"/>
      <c r="C36" s="1"/>
      <c r="D36" s="1"/>
      <c r="E36" s="1"/>
      <c r="F36" s="1"/>
      <c r="G36" s="1"/>
      <c r="H36" s="1"/>
      <c r="I36" s="1"/>
      <c r="J36" s="1"/>
      <c r="K36" s="1"/>
      <c r="L36" s="1"/>
      <c r="M36" s="1"/>
      <c r="N36" s="1"/>
      <c r="O36" s="1"/>
      <c r="P36" s="1"/>
      <c r="Q36" s="1"/>
      <c r="R36" s="1"/>
    </row>
  </sheetData>
  <mergeCells count="8">
    <mergeCell ref="E20:F20"/>
    <mergeCell ref="H9:K18"/>
    <mergeCell ref="C2:Q4"/>
    <mergeCell ref="C6:D6"/>
    <mergeCell ref="E6:F6"/>
    <mergeCell ref="C8:E8"/>
    <mergeCell ref="H8:K8"/>
    <mergeCell ref="M8:P8"/>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ErrorMessage="1" xr:uid="{1AB420BC-272F-E047-8F23-6C908FE6EC2D}">
          <x14:formula1>
            <xm:f>Setup!$E$4:$E$10</xm:f>
          </x14:formula1>
          <xm:sqref>E6:F6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000"/>
  <sheetViews>
    <sheetView showGridLines="0" workbookViewId="0">
      <selection activeCell="B3" sqref="B3"/>
    </sheetView>
  </sheetViews>
  <sheetFormatPr baseColWidth="10" defaultColWidth="12.5" defaultRowHeight="15.75" customHeight="1" x14ac:dyDescent="0.15"/>
  <cols>
    <col min="1" max="1" width="4.5" customWidth="1"/>
    <col min="2" max="2" width="16.1640625" customWidth="1"/>
    <col min="3" max="3" width="20.5" customWidth="1"/>
    <col min="4" max="4" width="21" customWidth="1"/>
    <col min="5" max="5" width="21.5" customWidth="1"/>
    <col min="6" max="8" width="17.5" customWidth="1"/>
    <col min="9" max="9" width="26.6640625" customWidth="1"/>
    <col min="10" max="10" width="26" customWidth="1"/>
    <col min="11" max="11" width="80.5" customWidth="1"/>
    <col min="12" max="12" width="4.1640625" customWidth="1"/>
  </cols>
  <sheetData>
    <row r="1" spans="1:12" ht="19.5" customHeight="1" x14ac:dyDescent="0.15">
      <c r="A1" s="14"/>
      <c r="B1" s="14"/>
      <c r="C1" s="14"/>
      <c r="D1" s="14"/>
      <c r="E1" s="14"/>
      <c r="F1" s="14"/>
      <c r="G1" s="14"/>
      <c r="H1" s="14"/>
      <c r="I1" s="14"/>
      <c r="J1" s="14"/>
      <c r="K1" s="14"/>
      <c r="L1" s="14"/>
    </row>
    <row r="2" spans="1:12" ht="21.75" customHeight="1" x14ac:dyDescent="0.15">
      <c r="A2" s="14"/>
      <c r="B2" s="64"/>
      <c r="C2" s="65"/>
      <c r="D2" s="65"/>
      <c r="E2" s="65"/>
      <c r="F2" s="65"/>
      <c r="G2" s="65"/>
      <c r="H2" s="65"/>
      <c r="I2" s="65"/>
      <c r="J2" s="65"/>
      <c r="K2" s="66"/>
      <c r="L2" s="14"/>
    </row>
    <row r="3" spans="1:12" ht="21.75" customHeight="1" x14ac:dyDescent="0.15">
      <c r="A3" s="14"/>
      <c r="B3" s="15" t="s">
        <v>5</v>
      </c>
      <c r="C3" s="15" t="s">
        <v>1</v>
      </c>
      <c r="D3" s="15" t="s">
        <v>6</v>
      </c>
      <c r="E3" s="15" t="s">
        <v>7</v>
      </c>
      <c r="F3" s="15" t="s">
        <v>8</v>
      </c>
      <c r="G3" s="15" t="s">
        <v>9</v>
      </c>
      <c r="H3" s="15" t="s">
        <v>2</v>
      </c>
      <c r="I3" s="15" t="s">
        <v>10</v>
      </c>
      <c r="J3" s="15" t="s">
        <v>3</v>
      </c>
      <c r="K3" s="15" t="s">
        <v>4</v>
      </c>
      <c r="L3" s="14"/>
    </row>
    <row r="4" spans="1:12" ht="21.75" customHeight="1" x14ac:dyDescent="0.15">
      <c r="A4" s="14"/>
      <c r="B4" s="16">
        <v>44927</v>
      </c>
      <c r="C4" s="17" t="s">
        <v>11</v>
      </c>
      <c r="D4" s="17" t="s">
        <v>12</v>
      </c>
      <c r="E4" s="17" t="s">
        <v>13</v>
      </c>
      <c r="F4" s="17">
        <v>4.5</v>
      </c>
      <c r="G4" s="17">
        <v>4.7</v>
      </c>
      <c r="H4" s="18">
        <v>4.5999999999999996</v>
      </c>
      <c r="I4" s="17" t="s">
        <v>14</v>
      </c>
      <c r="J4" s="17" t="s">
        <v>15</v>
      </c>
      <c r="K4" s="19" t="s">
        <v>16</v>
      </c>
      <c r="L4" s="14"/>
    </row>
    <row r="5" spans="1:12" ht="21.75" customHeight="1" x14ac:dyDescent="0.15">
      <c r="A5" s="14"/>
      <c r="B5" s="16">
        <v>44928</v>
      </c>
      <c r="C5" s="17" t="s">
        <v>17</v>
      </c>
      <c r="D5" s="17" t="s">
        <v>18</v>
      </c>
      <c r="E5" s="17" t="s">
        <v>19</v>
      </c>
      <c r="F5" s="17">
        <v>4.8</v>
      </c>
      <c r="G5" s="17">
        <v>4.5</v>
      </c>
      <c r="H5" s="18">
        <v>4.6500000000000004</v>
      </c>
      <c r="I5" s="17" t="s">
        <v>20</v>
      </c>
      <c r="J5" s="17" t="s">
        <v>15</v>
      </c>
      <c r="K5" s="19" t="s">
        <v>21</v>
      </c>
      <c r="L5" s="14"/>
    </row>
    <row r="6" spans="1:12" ht="21.75" customHeight="1" x14ac:dyDescent="0.15">
      <c r="A6" s="14"/>
      <c r="B6" s="16">
        <v>44929</v>
      </c>
      <c r="C6" s="17" t="s">
        <v>22</v>
      </c>
      <c r="D6" s="17" t="s">
        <v>23</v>
      </c>
      <c r="E6" s="17" t="s">
        <v>24</v>
      </c>
      <c r="F6" s="17">
        <v>4.2</v>
      </c>
      <c r="G6" s="17">
        <v>4.5999999999999996</v>
      </c>
      <c r="H6" s="18">
        <v>4.4000000000000004</v>
      </c>
      <c r="I6" s="17" t="s">
        <v>25</v>
      </c>
      <c r="J6" s="17" t="s">
        <v>26</v>
      </c>
      <c r="K6" s="19" t="s">
        <v>27</v>
      </c>
      <c r="L6" s="14"/>
    </row>
    <row r="7" spans="1:12" ht="21.75" customHeight="1" x14ac:dyDescent="0.15">
      <c r="A7" s="14"/>
      <c r="B7" s="16">
        <v>44930</v>
      </c>
      <c r="C7" s="17" t="s">
        <v>28</v>
      </c>
      <c r="D7" s="17" t="s">
        <v>29</v>
      </c>
      <c r="E7" s="17" t="s">
        <v>30</v>
      </c>
      <c r="F7" s="17">
        <v>4.9000000000000004</v>
      </c>
      <c r="G7" s="17">
        <v>4.8</v>
      </c>
      <c r="H7" s="18">
        <v>4.8499999999999996</v>
      </c>
      <c r="I7" s="17" t="s">
        <v>20</v>
      </c>
      <c r="J7" s="17" t="s">
        <v>31</v>
      </c>
      <c r="K7" s="19" t="s">
        <v>32</v>
      </c>
      <c r="L7" s="14"/>
    </row>
    <row r="8" spans="1:12" ht="21.75" customHeight="1" x14ac:dyDescent="0.15">
      <c r="A8" s="14"/>
      <c r="B8" s="16">
        <v>44959</v>
      </c>
      <c r="C8" s="17" t="s">
        <v>33</v>
      </c>
      <c r="D8" s="17" t="s">
        <v>34</v>
      </c>
      <c r="E8" s="17" t="s">
        <v>35</v>
      </c>
      <c r="F8" s="17">
        <v>4.7</v>
      </c>
      <c r="G8" s="17">
        <v>4.4000000000000004</v>
      </c>
      <c r="H8" s="18">
        <v>4.55</v>
      </c>
      <c r="I8" s="17" t="s">
        <v>14</v>
      </c>
      <c r="J8" s="17" t="s">
        <v>36</v>
      </c>
      <c r="K8" s="19" t="s">
        <v>37</v>
      </c>
      <c r="L8" s="14"/>
    </row>
    <row r="9" spans="1:12" ht="21.75" customHeight="1" x14ac:dyDescent="0.15">
      <c r="A9" s="14"/>
      <c r="B9" s="16">
        <v>44960</v>
      </c>
      <c r="C9" s="17" t="s">
        <v>38</v>
      </c>
      <c r="D9" s="17" t="s">
        <v>39</v>
      </c>
      <c r="E9" s="17" t="s">
        <v>40</v>
      </c>
      <c r="F9" s="17">
        <v>4.5999999999999996</v>
      </c>
      <c r="G9" s="17">
        <v>4.5</v>
      </c>
      <c r="H9" s="18">
        <v>4.55</v>
      </c>
      <c r="I9" s="17" t="s">
        <v>14</v>
      </c>
      <c r="J9" s="17" t="s">
        <v>36</v>
      </c>
      <c r="K9" s="19" t="s">
        <v>41</v>
      </c>
      <c r="L9" s="14"/>
    </row>
    <row r="10" spans="1:12" ht="21.75" customHeight="1" x14ac:dyDescent="0.15">
      <c r="A10" s="14"/>
      <c r="B10" s="16">
        <v>44961</v>
      </c>
      <c r="C10" s="17" t="s">
        <v>42</v>
      </c>
      <c r="D10" s="17" t="s">
        <v>43</v>
      </c>
      <c r="E10" s="17" t="s">
        <v>44</v>
      </c>
      <c r="F10" s="17">
        <v>4.3</v>
      </c>
      <c r="G10" s="17">
        <v>4.2</v>
      </c>
      <c r="H10" s="18">
        <v>4.25</v>
      </c>
      <c r="I10" s="17" t="s">
        <v>14</v>
      </c>
      <c r="J10" s="17" t="s">
        <v>36</v>
      </c>
      <c r="K10" s="19" t="s">
        <v>45</v>
      </c>
      <c r="L10" s="14"/>
    </row>
    <row r="11" spans="1:12" ht="21.75" customHeight="1" x14ac:dyDescent="0.15">
      <c r="A11" s="14"/>
      <c r="B11" s="16">
        <v>44962</v>
      </c>
      <c r="C11" s="17" t="s">
        <v>46</v>
      </c>
      <c r="D11" s="17" t="s">
        <v>47</v>
      </c>
      <c r="E11" s="17" t="s">
        <v>48</v>
      </c>
      <c r="F11" s="17">
        <v>4.8</v>
      </c>
      <c r="G11" s="17">
        <v>4.7</v>
      </c>
      <c r="H11" s="18">
        <v>4.75</v>
      </c>
      <c r="I11" s="17" t="s">
        <v>14</v>
      </c>
      <c r="J11" s="17" t="s">
        <v>49</v>
      </c>
      <c r="K11" s="19" t="s">
        <v>50</v>
      </c>
      <c r="L11" s="14"/>
    </row>
    <row r="12" spans="1:12" ht="21.75" customHeight="1" x14ac:dyDescent="0.15">
      <c r="A12" s="14"/>
      <c r="B12" s="16">
        <v>44963</v>
      </c>
      <c r="C12" s="17" t="s">
        <v>51</v>
      </c>
      <c r="D12" s="17" t="s">
        <v>52</v>
      </c>
      <c r="E12" s="17" t="s">
        <v>53</v>
      </c>
      <c r="F12" s="17">
        <v>4.5</v>
      </c>
      <c r="G12" s="17">
        <v>4.5999999999999996</v>
      </c>
      <c r="H12" s="18">
        <v>4.55</v>
      </c>
      <c r="I12" s="17" t="s">
        <v>14</v>
      </c>
      <c r="J12" s="17" t="s">
        <v>49</v>
      </c>
      <c r="K12" s="19" t="s">
        <v>54</v>
      </c>
      <c r="L12" s="14"/>
    </row>
    <row r="13" spans="1:12" ht="21.75" customHeight="1" x14ac:dyDescent="0.15">
      <c r="A13" s="14"/>
      <c r="B13" s="16">
        <v>44964</v>
      </c>
      <c r="C13" s="17" t="s">
        <v>55</v>
      </c>
      <c r="D13" s="17" t="s">
        <v>56</v>
      </c>
      <c r="E13" s="17" t="s">
        <v>57</v>
      </c>
      <c r="F13" s="17">
        <v>4.7</v>
      </c>
      <c r="G13" s="17">
        <v>4.9000000000000004</v>
      </c>
      <c r="H13" s="18">
        <v>4.8</v>
      </c>
      <c r="I13" s="17" t="s">
        <v>20</v>
      </c>
      <c r="J13" s="17" t="s">
        <v>15</v>
      </c>
      <c r="K13" s="19" t="s">
        <v>58</v>
      </c>
      <c r="L13" s="14"/>
    </row>
    <row r="14" spans="1:12" ht="21.75" customHeight="1" x14ac:dyDescent="0.15">
      <c r="A14" s="14"/>
      <c r="B14" s="16"/>
      <c r="C14" s="17"/>
      <c r="D14" s="17"/>
      <c r="E14" s="17"/>
      <c r="F14" s="17"/>
      <c r="G14" s="17"/>
      <c r="H14" s="18" t="s">
        <v>70</v>
      </c>
      <c r="I14" s="17"/>
      <c r="J14" s="17"/>
      <c r="K14" s="20"/>
      <c r="L14" s="14"/>
    </row>
    <row r="15" spans="1:12" ht="21.75" customHeight="1" x14ac:dyDescent="0.15">
      <c r="A15" s="14"/>
      <c r="B15" s="21"/>
      <c r="C15" s="20"/>
      <c r="D15" s="17"/>
      <c r="E15" s="17"/>
      <c r="F15" s="17"/>
      <c r="G15" s="17"/>
      <c r="H15" s="18" t="s">
        <v>70</v>
      </c>
      <c r="I15" s="17"/>
      <c r="J15" s="17"/>
      <c r="K15" s="17"/>
      <c r="L15" s="14"/>
    </row>
    <row r="16" spans="1:12" ht="21.75" customHeight="1" x14ac:dyDescent="0.15">
      <c r="A16" s="14"/>
      <c r="B16" s="21"/>
      <c r="C16" s="20"/>
      <c r="D16" s="17"/>
      <c r="E16" s="17"/>
      <c r="F16" s="17"/>
      <c r="G16" s="17"/>
      <c r="H16" s="18" t="s">
        <v>70</v>
      </c>
      <c r="I16" s="17"/>
      <c r="J16" s="17"/>
      <c r="K16" s="17"/>
      <c r="L16" s="14"/>
    </row>
    <row r="17" spans="1:12" ht="21.75" customHeight="1" x14ac:dyDescent="0.15">
      <c r="A17" s="14"/>
      <c r="B17" s="21"/>
      <c r="C17" s="20"/>
      <c r="D17" s="17"/>
      <c r="E17" s="17"/>
      <c r="F17" s="17"/>
      <c r="G17" s="17"/>
      <c r="H17" s="18" t="s">
        <v>70</v>
      </c>
      <c r="I17" s="17"/>
      <c r="J17" s="17"/>
      <c r="K17" s="17"/>
      <c r="L17" s="14"/>
    </row>
    <row r="18" spans="1:12" ht="21.75" customHeight="1" x14ac:dyDescent="0.15">
      <c r="A18" s="14"/>
      <c r="B18" s="21"/>
      <c r="C18" s="20"/>
      <c r="D18" s="17"/>
      <c r="E18" s="17"/>
      <c r="F18" s="17"/>
      <c r="G18" s="17"/>
      <c r="H18" s="18" t="s">
        <v>70</v>
      </c>
      <c r="I18" s="17"/>
      <c r="J18" s="17"/>
      <c r="K18" s="17"/>
      <c r="L18" s="14"/>
    </row>
    <row r="19" spans="1:12" ht="21.75" customHeight="1" x14ac:dyDescent="0.15">
      <c r="A19" s="14"/>
      <c r="B19" s="21"/>
      <c r="C19" s="20"/>
      <c r="D19" s="17"/>
      <c r="E19" s="17"/>
      <c r="F19" s="17"/>
      <c r="G19" s="17"/>
      <c r="H19" s="18" t="s">
        <v>70</v>
      </c>
      <c r="I19" s="17"/>
      <c r="J19" s="17"/>
      <c r="K19" s="17"/>
      <c r="L19" s="14"/>
    </row>
    <row r="20" spans="1:12" ht="21.75" customHeight="1" x14ac:dyDescent="0.15">
      <c r="A20" s="14"/>
      <c r="B20" s="21"/>
      <c r="C20" s="20"/>
      <c r="D20" s="17"/>
      <c r="E20" s="17"/>
      <c r="F20" s="17"/>
      <c r="G20" s="17"/>
      <c r="H20" s="18" t="s">
        <v>70</v>
      </c>
      <c r="I20" s="17"/>
      <c r="J20" s="17"/>
      <c r="K20" s="17"/>
      <c r="L20" s="14"/>
    </row>
    <row r="21" spans="1:12" ht="21.75" customHeight="1" x14ac:dyDescent="0.15">
      <c r="A21" s="14"/>
      <c r="B21" s="21"/>
      <c r="C21" s="20"/>
      <c r="D21" s="17"/>
      <c r="E21" s="17"/>
      <c r="F21" s="17"/>
      <c r="G21" s="17"/>
      <c r="H21" s="18" t="s">
        <v>70</v>
      </c>
      <c r="I21" s="17"/>
      <c r="J21" s="17"/>
      <c r="K21" s="17"/>
      <c r="L21" s="14"/>
    </row>
    <row r="22" spans="1:12" ht="21.75" customHeight="1" x14ac:dyDescent="0.15">
      <c r="A22" s="14"/>
      <c r="B22" s="21"/>
      <c r="C22" s="20"/>
      <c r="D22" s="17"/>
      <c r="E22" s="17"/>
      <c r="F22" s="17"/>
      <c r="G22" s="17"/>
      <c r="H22" s="18" t="s">
        <v>70</v>
      </c>
      <c r="I22" s="17"/>
      <c r="J22" s="17"/>
      <c r="K22" s="17"/>
      <c r="L22" s="14"/>
    </row>
    <row r="23" spans="1:12" ht="21.75" customHeight="1" x14ac:dyDescent="0.15">
      <c r="A23" s="14"/>
      <c r="B23" s="21"/>
      <c r="C23" s="20"/>
      <c r="D23" s="17"/>
      <c r="E23" s="17"/>
      <c r="F23" s="17"/>
      <c r="G23" s="17"/>
      <c r="H23" s="18" t="s">
        <v>70</v>
      </c>
      <c r="I23" s="17"/>
      <c r="J23" s="17"/>
      <c r="K23" s="17"/>
      <c r="L23" s="14"/>
    </row>
    <row r="24" spans="1:12" ht="21.75" customHeight="1" x14ac:dyDescent="0.15">
      <c r="A24" s="14"/>
      <c r="B24" s="21"/>
      <c r="C24" s="20"/>
      <c r="D24" s="17"/>
      <c r="E24" s="17"/>
      <c r="F24" s="17"/>
      <c r="G24" s="17"/>
      <c r="H24" s="18" t="s">
        <v>70</v>
      </c>
      <c r="I24" s="17"/>
      <c r="J24" s="17"/>
      <c r="K24" s="17"/>
      <c r="L24" s="14"/>
    </row>
    <row r="25" spans="1:12" ht="21.75" customHeight="1" x14ac:dyDescent="0.15">
      <c r="A25" s="14"/>
      <c r="B25" s="21"/>
      <c r="C25" s="20"/>
      <c r="D25" s="17"/>
      <c r="E25" s="17"/>
      <c r="F25" s="17"/>
      <c r="G25" s="17"/>
      <c r="H25" s="18" t="s">
        <v>70</v>
      </c>
      <c r="I25" s="17"/>
      <c r="J25" s="17"/>
      <c r="K25" s="17"/>
      <c r="L25" s="14"/>
    </row>
    <row r="26" spans="1:12" ht="21.75" customHeight="1" x14ac:dyDescent="0.15">
      <c r="A26" s="14"/>
      <c r="B26" s="21"/>
      <c r="C26" s="20"/>
      <c r="D26" s="17"/>
      <c r="E26" s="17"/>
      <c r="F26" s="17"/>
      <c r="G26" s="17"/>
      <c r="H26" s="18" t="s">
        <v>70</v>
      </c>
      <c r="I26" s="17"/>
      <c r="J26" s="17"/>
      <c r="K26" s="17"/>
      <c r="L26" s="14"/>
    </row>
    <row r="27" spans="1:12" ht="21.75" customHeight="1" x14ac:dyDescent="0.15">
      <c r="A27" s="14"/>
      <c r="B27" s="16"/>
      <c r="C27" s="17"/>
      <c r="D27" s="17"/>
      <c r="E27" s="17"/>
      <c r="F27" s="17"/>
      <c r="G27" s="17"/>
      <c r="H27" s="18" t="s">
        <v>70</v>
      </c>
      <c r="I27" s="17"/>
      <c r="J27" s="17"/>
      <c r="K27" s="17"/>
      <c r="L27" s="14"/>
    </row>
    <row r="28" spans="1:12" ht="21.75" customHeight="1" x14ac:dyDescent="0.15">
      <c r="A28" s="14"/>
      <c r="B28" s="16"/>
      <c r="C28" s="17"/>
      <c r="D28" s="17"/>
      <c r="E28" s="17"/>
      <c r="F28" s="17"/>
      <c r="G28" s="17"/>
      <c r="H28" s="18" t="s">
        <v>70</v>
      </c>
      <c r="I28" s="17"/>
      <c r="J28" s="17"/>
      <c r="K28" s="17"/>
      <c r="L28" s="14"/>
    </row>
    <row r="29" spans="1:12" ht="21.75" customHeight="1" x14ac:dyDescent="0.15">
      <c r="A29" s="14"/>
      <c r="B29" s="16"/>
      <c r="C29" s="17"/>
      <c r="D29" s="17"/>
      <c r="E29" s="17"/>
      <c r="F29" s="17"/>
      <c r="G29" s="17"/>
      <c r="H29" s="18" t="s">
        <v>70</v>
      </c>
      <c r="I29" s="17"/>
      <c r="J29" s="17"/>
      <c r="K29" s="17"/>
      <c r="L29" s="14"/>
    </row>
    <row r="30" spans="1:12" ht="21.75" customHeight="1" x14ac:dyDescent="0.15">
      <c r="A30" s="14"/>
      <c r="B30" s="16"/>
      <c r="C30" s="17"/>
      <c r="D30" s="17"/>
      <c r="E30" s="17"/>
      <c r="F30" s="17"/>
      <c r="G30" s="17"/>
      <c r="H30" s="18" t="s">
        <v>70</v>
      </c>
      <c r="I30" s="17"/>
      <c r="J30" s="17"/>
      <c r="K30" s="17"/>
      <c r="L30" s="14"/>
    </row>
    <row r="31" spans="1:12" ht="21.75" customHeight="1" x14ac:dyDescent="0.15">
      <c r="A31" s="14"/>
      <c r="B31" s="16"/>
      <c r="C31" s="17"/>
      <c r="D31" s="17"/>
      <c r="E31" s="17"/>
      <c r="F31" s="17"/>
      <c r="G31" s="17"/>
      <c r="H31" s="18" t="s">
        <v>70</v>
      </c>
      <c r="I31" s="17"/>
      <c r="J31" s="17"/>
      <c r="K31" s="17"/>
      <c r="L31" s="14"/>
    </row>
    <row r="32" spans="1:12" ht="21.75" customHeight="1" x14ac:dyDescent="0.15">
      <c r="A32" s="14"/>
      <c r="B32" s="16"/>
      <c r="C32" s="17"/>
      <c r="D32" s="17"/>
      <c r="E32" s="17"/>
      <c r="F32" s="17"/>
      <c r="G32" s="17"/>
      <c r="H32" s="18" t="s">
        <v>70</v>
      </c>
      <c r="I32" s="17"/>
      <c r="J32" s="17"/>
      <c r="K32" s="17"/>
      <c r="L32" s="14"/>
    </row>
    <row r="33" spans="1:12" ht="21.75" customHeight="1" x14ac:dyDescent="0.15">
      <c r="A33" s="14"/>
      <c r="B33" s="16"/>
      <c r="C33" s="17"/>
      <c r="D33" s="17"/>
      <c r="E33" s="17"/>
      <c r="F33" s="17"/>
      <c r="G33" s="17"/>
      <c r="H33" s="18" t="s">
        <v>70</v>
      </c>
      <c r="I33" s="17"/>
      <c r="J33" s="17"/>
      <c r="K33" s="17"/>
      <c r="L33" s="14"/>
    </row>
    <row r="34" spans="1:12" ht="21.75" customHeight="1" x14ac:dyDescent="0.15">
      <c r="A34" s="14"/>
      <c r="B34" s="16"/>
      <c r="C34" s="17"/>
      <c r="D34" s="17"/>
      <c r="E34" s="17"/>
      <c r="F34" s="17"/>
      <c r="G34" s="17"/>
      <c r="H34" s="18" t="s">
        <v>70</v>
      </c>
      <c r="I34" s="17"/>
      <c r="J34" s="17"/>
      <c r="K34" s="17"/>
      <c r="L34" s="14"/>
    </row>
    <row r="35" spans="1:12" ht="21.75" customHeight="1" x14ac:dyDescent="0.15">
      <c r="A35" s="14"/>
      <c r="B35" s="16"/>
      <c r="C35" s="17"/>
      <c r="D35" s="17"/>
      <c r="E35" s="17"/>
      <c r="F35" s="17"/>
      <c r="G35" s="17"/>
      <c r="H35" s="18" t="s">
        <v>70</v>
      </c>
      <c r="I35" s="17"/>
      <c r="J35" s="17"/>
      <c r="K35" s="17"/>
      <c r="L35" s="14"/>
    </row>
    <row r="36" spans="1:12" ht="21.75" customHeight="1" x14ac:dyDescent="0.15">
      <c r="A36" s="14"/>
      <c r="B36" s="16"/>
      <c r="C36" s="17"/>
      <c r="D36" s="17"/>
      <c r="E36" s="17"/>
      <c r="F36" s="17"/>
      <c r="G36" s="17"/>
      <c r="H36" s="18" t="s">
        <v>70</v>
      </c>
      <c r="I36" s="17"/>
      <c r="J36" s="17"/>
      <c r="K36" s="17"/>
      <c r="L36" s="14"/>
    </row>
    <row r="37" spans="1:12" ht="21.75" customHeight="1" x14ac:dyDescent="0.15">
      <c r="A37" s="14"/>
      <c r="B37" s="16"/>
      <c r="C37" s="17"/>
      <c r="D37" s="17"/>
      <c r="E37" s="17"/>
      <c r="F37" s="17"/>
      <c r="G37" s="17"/>
      <c r="H37" s="18" t="s">
        <v>70</v>
      </c>
      <c r="I37" s="17"/>
      <c r="J37" s="17"/>
      <c r="K37" s="17"/>
      <c r="L37" s="14"/>
    </row>
    <row r="38" spans="1:12" ht="21.75" customHeight="1" x14ac:dyDescent="0.15">
      <c r="A38" s="14"/>
      <c r="B38" s="16"/>
      <c r="C38" s="17"/>
      <c r="D38" s="17"/>
      <c r="E38" s="17"/>
      <c r="F38" s="17"/>
      <c r="G38" s="17"/>
      <c r="H38" s="18" t="s">
        <v>70</v>
      </c>
      <c r="I38" s="17"/>
      <c r="J38" s="17"/>
      <c r="K38" s="17"/>
      <c r="L38" s="14"/>
    </row>
    <row r="39" spans="1:12" ht="21.75" customHeight="1" x14ac:dyDescent="0.15">
      <c r="A39" s="14"/>
      <c r="B39" s="16"/>
      <c r="C39" s="17"/>
      <c r="D39" s="17"/>
      <c r="E39" s="17"/>
      <c r="F39" s="17"/>
      <c r="G39" s="17"/>
      <c r="H39" s="18" t="s">
        <v>70</v>
      </c>
      <c r="I39" s="17"/>
      <c r="J39" s="17"/>
      <c r="K39" s="17"/>
      <c r="L39" s="14"/>
    </row>
    <row r="40" spans="1:12" ht="21.75" customHeight="1" x14ac:dyDescent="0.15">
      <c r="A40" s="14"/>
      <c r="B40" s="16"/>
      <c r="C40" s="17"/>
      <c r="D40" s="17"/>
      <c r="E40" s="17"/>
      <c r="F40" s="17"/>
      <c r="G40" s="17"/>
      <c r="H40" s="18" t="s">
        <v>70</v>
      </c>
      <c r="I40" s="17"/>
      <c r="J40" s="17"/>
      <c r="K40" s="17"/>
      <c r="L40" s="14"/>
    </row>
    <row r="41" spans="1:12" ht="21.75" customHeight="1" x14ac:dyDescent="0.15">
      <c r="A41" s="14"/>
      <c r="B41" s="16"/>
      <c r="C41" s="17"/>
      <c r="D41" s="17"/>
      <c r="E41" s="17"/>
      <c r="F41" s="17"/>
      <c r="G41" s="17"/>
      <c r="H41" s="18" t="s">
        <v>70</v>
      </c>
      <c r="I41" s="17"/>
      <c r="J41" s="17"/>
      <c r="K41" s="17"/>
      <c r="L41" s="14"/>
    </row>
    <row r="42" spans="1:12" ht="21.75" customHeight="1" x14ac:dyDescent="0.15">
      <c r="A42" s="14"/>
      <c r="B42" s="16"/>
      <c r="C42" s="17"/>
      <c r="D42" s="17"/>
      <c r="E42" s="17"/>
      <c r="F42" s="17"/>
      <c r="G42" s="17"/>
      <c r="H42" s="18" t="s">
        <v>70</v>
      </c>
      <c r="I42" s="17"/>
      <c r="J42" s="17"/>
      <c r="K42" s="17"/>
      <c r="L42" s="14"/>
    </row>
    <row r="43" spans="1:12" ht="21.75" customHeight="1" x14ac:dyDescent="0.15">
      <c r="A43" s="14"/>
      <c r="B43" s="16"/>
      <c r="C43" s="17"/>
      <c r="D43" s="17"/>
      <c r="E43" s="17"/>
      <c r="F43" s="17"/>
      <c r="G43" s="17"/>
      <c r="H43" s="18" t="s">
        <v>70</v>
      </c>
      <c r="I43" s="17"/>
      <c r="J43" s="17"/>
      <c r="K43" s="17"/>
      <c r="L43" s="14"/>
    </row>
    <row r="44" spans="1:12" ht="21.75" customHeight="1" x14ac:dyDescent="0.15">
      <c r="A44" s="14"/>
      <c r="B44" s="16"/>
      <c r="C44" s="17"/>
      <c r="D44" s="17"/>
      <c r="E44" s="17"/>
      <c r="F44" s="17"/>
      <c r="G44" s="17"/>
      <c r="H44" s="18" t="s">
        <v>70</v>
      </c>
      <c r="I44" s="17"/>
      <c r="J44" s="17"/>
      <c r="K44" s="17"/>
      <c r="L44" s="14"/>
    </row>
    <row r="45" spans="1:12" ht="21.75" customHeight="1" x14ac:dyDescent="0.15">
      <c r="A45" s="14"/>
      <c r="B45" s="16"/>
      <c r="C45" s="17"/>
      <c r="D45" s="17"/>
      <c r="E45" s="17"/>
      <c r="F45" s="17"/>
      <c r="G45" s="17"/>
      <c r="H45" s="18" t="s">
        <v>70</v>
      </c>
      <c r="I45" s="17"/>
      <c r="J45" s="17"/>
      <c r="K45" s="17"/>
      <c r="L45" s="14"/>
    </row>
    <row r="46" spans="1:12" ht="21.75" customHeight="1" x14ac:dyDescent="0.15">
      <c r="A46" s="14"/>
      <c r="B46" s="16"/>
      <c r="C46" s="17"/>
      <c r="D46" s="17"/>
      <c r="E46" s="17"/>
      <c r="F46" s="17"/>
      <c r="G46" s="17"/>
      <c r="H46" s="18" t="s">
        <v>70</v>
      </c>
      <c r="I46" s="17"/>
      <c r="J46" s="17"/>
      <c r="K46" s="17"/>
      <c r="L46" s="14"/>
    </row>
    <row r="47" spans="1:12" ht="21.75" customHeight="1" x14ac:dyDescent="0.15">
      <c r="A47" s="14"/>
      <c r="B47" s="16"/>
      <c r="C47" s="17"/>
      <c r="D47" s="17"/>
      <c r="E47" s="17"/>
      <c r="F47" s="17"/>
      <c r="G47" s="17"/>
      <c r="H47" s="18" t="s">
        <v>70</v>
      </c>
      <c r="I47" s="17"/>
      <c r="J47" s="17"/>
      <c r="K47" s="17"/>
      <c r="L47" s="14"/>
    </row>
    <row r="48" spans="1:12" ht="21.75" customHeight="1" x14ac:dyDescent="0.15">
      <c r="A48" s="14"/>
      <c r="B48" s="16"/>
      <c r="C48" s="17"/>
      <c r="D48" s="17"/>
      <c r="E48" s="17"/>
      <c r="F48" s="17"/>
      <c r="G48" s="17"/>
      <c r="H48" s="18" t="s">
        <v>70</v>
      </c>
      <c r="I48" s="17"/>
      <c r="J48" s="17"/>
      <c r="K48" s="17"/>
      <c r="L48" s="14"/>
    </row>
    <row r="49" spans="1:12" ht="21.75" customHeight="1" x14ac:dyDescent="0.15">
      <c r="A49" s="14"/>
      <c r="B49" s="16"/>
      <c r="C49" s="17"/>
      <c r="D49" s="17"/>
      <c r="E49" s="17"/>
      <c r="F49" s="17"/>
      <c r="G49" s="17"/>
      <c r="H49" s="18" t="s">
        <v>70</v>
      </c>
      <c r="I49" s="17"/>
      <c r="J49" s="17"/>
      <c r="K49" s="17"/>
      <c r="L49" s="14"/>
    </row>
    <row r="50" spans="1:12" ht="21.75" customHeight="1" x14ac:dyDescent="0.15">
      <c r="A50" s="14"/>
      <c r="B50" s="16"/>
      <c r="C50" s="17"/>
      <c r="D50" s="17"/>
      <c r="E50" s="17"/>
      <c r="F50" s="17"/>
      <c r="G50" s="17"/>
      <c r="H50" s="18" t="s">
        <v>70</v>
      </c>
      <c r="I50" s="17"/>
      <c r="J50" s="17"/>
      <c r="K50" s="17"/>
      <c r="L50" s="14"/>
    </row>
    <row r="51" spans="1:12" ht="21.75" customHeight="1" x14ac:dyDescent="0.15">
      <c r="A51" s="14"/>
      <c r="B51" s="16"/>
      <c r="C51" s="17"/>
      <c r="D51" s="17"/>
      <c r="E51" s="17"/>
      <c r="F51" s="17"/>
      <c r="G51" s="17"/>
      <c r="H51" s="18" t="s">
        <v>70</v>
      </c>
      <c r="I51" s="17"/>
      <c r="J51" s="17"/>
      <c r="K51" s="17"/>
      <c r="L51" s="14"/>
    </row>
    <row r="52" spans="1:12" ht="21.75" customHeight="1" x14ac:dyDescent="0.15">
      <c r="A52" s="14"/>
      <c r="B52" s="16"/>
      <c r="C52" s="17"/>
      <c r="D52" s="17"/>
      <c r="E52" s="17"/>
      <c r="F52" s="17"/>
      <c r="G52" s="17"/>
      <c r="H52" s="18" t="s">
        <v>70</v>
      </c>
      <c r="I52" s="17"/>
      <c r="J52" s="17"/>
      <c r="K52" s="17"/>
      <c r="L52" s="14"/>
    </row>
    <row r="53" spans="1:12" ht="21.75" customHeight="1" x14ac:dyDescent="0.15">
      <c r="A53" s="14"/>
      <c r="B53" s="16"/>
      <c r="C53" s="17"/>
      <c r="D53" s="17"/>
      <c r="E53" s="17"/>
      <c r="F53" s="17"/>
      <c r="G53" s="17"/>
      <c r="H53" s="18" t="s">
        <v>70</v>
      </c>
      <c r="I53" s="17"/>
      <c r="J53" s="17"/>
      <c r="K53" s="17"/>
      <c r="L53" s="14"/>
    </row>
    <row r="54" spans="1:12" ht="21.75" customHeight="1" x14ac:dyDescent="0.15">
      <c r="A54" s="14"/>
      <c r="B54" s="16"/>
      <c r="C54" s="17"/>
      <c r="D54" s="17"/>
      <c r="E54" s="17"/>
      <c r="F54" s="17"/>
      <c r="G54" s="17"/>
      <c r="H54" s="18" t="s">
        <v>70</v>
      </c>
      <c r="I54" s="17"/>
      <c r="J54" s="17"/>
      <c r="K54" s="17"/>
      <c r="L54" s="14"/>
    </row>
    <row r="55" spans="1:12" ht="21.75" customHeight="1" x14ac:dyDescent="0.15">
      <c r="A55" s="14"/>
      <c r="B55" s="16"/>
      <c r="C55" s="17"/>
      <c r="D55" s="17"/>
      <c r="E55" s="17"/>
      <c r="F55" s="17"/>
      <c r="G55" s="17"/>
      <c r="H55" s="18" t="s">
        <v>70</v>
      </c>
      <c r="I55" s="17"/>
      <c r="J55" s="17"/>
      <c r="K55" s="17"/>
      <c r="L55" s="14"/>
    </row>
    <row r="56" spans="1:12" ht="21.75" customHeight="1" x14ac:dyDescent="0.15">
      <c r="A56" s="14"/>
      <c r="B56" s="16"/>
      <c r="C56" s="17"/>
      <c r="D56" s="17"/>
      <c r="E56" s="17"/>
      <c r="F56" s="17"/>
      <c r="G56" s="17"/>
      <c r="H56" s="18" t="s">
        <v>70</v>
      </c>
      <c r="I56" s="17"/>
      <c r="J56" s="17"/>
      <c r="K56" s="17"/>
      <c r="L56" s="14"/>
    </row>
    <row r="57" spans="1:12" ht="21.75" customHeight="1" x14ac:dyDescent="0.15">
      <c r="A57" s="14"/>
      <c r="B57" s="16"/>
      <c r="C57" s="17"/>
      <c r="D57" s="17"/>
      <c r="E57" s="17"/>
      <c r="F57" s="17"/>
      <c r="G57" s="17"/>
      <c r="H57" s="18" t="s">
        <v>70</v>
      </c>
      <c r="I57" s="17"/>
      <c r="J57" s="17"/>
      <c r="K57" s="17"/>
      <c r="L57" s="14"/>
    </row>
    <row r="58" spans="1:12" ht="21.75" customHeight="1" x14ac:dyDescent="0.15">
      <c r="A58" s="14"/>
      <c r="B58" s="16"/>
      <c r="C58" s="17"/>
      <c r="D58" s="17"/>
      <c r="E58" s="17"/>
      <c r="F58" s="17"/>
      <c r="G58" s="17"/>
      <c r="H58" s="18" t="s">
        <v>70</v>
      </c>
      <c r="I58" s="17"/>
      <c r="J58" s="17"/>
      <c r="K58" s="17"/>
      <c r="L58" s="14"/>
    </row>
    <row r="59" spans="1:12" ht="21.75" customHeight="1" x14ac:dyDescent="0.15">
      <c r="A59" s="14"/>
      <c r="B59" s="16"/>
      <c r="C59" s="17"/>
      <c r="D59" s="17"/>
      <c r="E59" s="17"/>
      <c r="F59" s="17"/>
      <c r="G59" s="17"/>
      <c r="H59" s="18" t="s">
        <v>70</v>
      </c>
      <c r="I59" s="17"/>
      <c r="J59" s="17"/>
      <c r="K59" s="17"/>
      <c r="L59" s="14"/>
    </row>
    <row r="60" spans="1:12" ht="21.75" customHeight="1" x14ac:dyDescent="0.15">
      <c r="A60" s="14"/>
      <c r="B60" s="16"/>
      <c r="C60" s="17"/>
      <c r="D60" s="17"/>
      <c r="E60" s="17"/>
      <c r="F60" s="17"/>
      <c r="G60" s="17"/>
      <c r="H60" s="18" t="s">
        <v>70</v>
      </c>
      <c r="I60" s="17"/>
      <c r="J60" s="17"/>
      <c r="K60" s="17"/>
      <c r="L60" s="14"/>
    </row>
    <row r="61" spans="1:12" ht="21.75" customHeight="1" x14ac:dyDescent="0.15">
      <c r="A61" s="14"/>
      <c r="B61" s="16"/>
      <c r="C61" s="17"/>
      <c r="D61" s="17"/>
      <c r="E61" s="17"/>
      <c r="F61" s="17"/>
      <c r="G61" s="17"/>
      <c r="H61" s="18" t="s">
        <v>70</v>
      </c>
      <c r="I61" s="17"/>
      <c r="J61" s="17"/>
      <c r="K61" s="17"/>
      <c r="L61" s="14"/>
    </row>
    <row r="62" spans="1:12" ht="21.75" customHeight="1" x14ac:dyDescent="0.15">
      <c r="A62" s="14"/>
      <c r="B62" s="16"/>
      <c r="C62" s="17"/>
      <c r="D62" s="17"/>
      <c r="E62" s="17"/>
      <c r="F62" s="17"/>
      <c r="G62" s="17"/>
      <c r="H62" s="18" t="s">
        <v>70</v>
      </c>
      <c r="I62" s="17"/>
      <c r="J62" s="17"/>
      <c r="K62" s="17"/>
      <c r="L62" s="14"/>
    </row>
    <row r="63" spans="1:12" ht="21.75" customHeight="1" x14ac:dyDescent="0.15">
      <c r="A63" s="14"/>
      <c r="B63" s="16"/>
      <c r="C63" s="17"/>
      <c r="D63" s="17"/>
      <c r="E63" s="17"/>
      <c r="F63" s="17"/>
      <c r="G63" s="17"/>
      <c r="H63" s="18" t="s">
        <v>70</v>
      </c>
      <c r="I63" s="17"/>
      <c r="J63" s="17"/>
      <c r="K63" s="17"/>
      <c r="L63" s="14"/>
    </row>
    <row r="64" spans="1:12" ht="21.75" customHeight="1" x14ac:dyDescent="0.15">
      <c r="A64" s="14"/>
      <c r="B64" s="16"/>
      <c r="C64" s="17"/>
      <c r="D64" s="17"/>
      <c r="E64" s="17"/>
      <c r="F64" s="17"/>
      <c r="G64" s="17"/>
      <c r="H64" s="18" t="s">
        <v>70</v>
      </c>
      <c r="I64" s="17"/>
      <c r="J64" s="17"/>
      <c r="K64" s="17"/>
      <c r="L64" s="14"/>
    </row>
    <row r="65" spans="1:12" ht="21.75" customHeight="1" x14ac:dyDescent="0.15">
      <c r="A65" s="14"/>
      <c r="B65" s="16"/>
      <c r="C65" s="17"/>
      <c r="D65" s="17"/>
      <c r="E65" s="17"/>
      <c r="F65" s="17"/>
      <c r="G65" s="17"/>
      <c r="H65" s="18" t="s">
        <v>70</v>
      </c>
      <c r="I65" s="17"/>
      <c r="J65" s="17"/>
      <c r="K65" s="17"/>
      <c r="L65" s="14"/>
    </row>
    <row r="66" spans="1:12" ht="21.75" customHeight="1" x14ac:dyDescent="0.15">
      <c r="A66" s="14"/>
      <c r="B66" s="16"/>
      <c r="C66" s="17"/>
      <c r="D66" s="17"/>
      <c r="E66" s="17"/>
      <c r="F66" s="17"/>
      <c r="G66" s="17"/>
      <c r="H66" s="18" t="s">
        <v>70</v>
      </c>
      <c r="I66" s="17"/>
      <c r="J66" s="17"/>
      <c r="K66" s="17"/>
      <c r="L66" s="14"/>
    </row>
    <row r="67" spans="1:12" ht="21.75" customHeight="1" x14ac:dyDescent="0.15">
      <c r="A67" s="14"/>
      <c r="B67" s="16"/>
      <c r="C67" s="17"/>
      <c r="D67" s="17"/>
      <c r="E67" s="17"/>
      <c r="F67" s="17"/>
      <c r="G67" s="17"/>
      <c r="H67" s="18" t="s">
        <v>70</v>
      </c>
      <c r="I67" s="17"/>
      <c r="J67" s="17"/>
      <c r="K67" s="17"/>
      <c r="L67" s="14"/>
    </row>
    <row r="68" spans="1:12" ht="21.75" customHeight="1" x14ac:dyDescent="0.15">
      <c r="A68" s="14"/>
      <c r="B68" s="16"/>
      <c r="C68" s="17"/>
      <c r="D68" s="17"/>
      <c r="E68" s="17"/>
      <c r="F68" s="17"/>
      <c r="G68" s="17"/>
      <c r="H68" s="18" t="s">
        <v>70</v>
      </c>
      <c r="I68" s="17"/>
      <c r="J68" s="17"/>
      <c r="K68" s="17"/>
      <c r="L68" s="14"/>
    </row>
    <row r="69" spans="1:12" ht="21.75" customHeight="1" x14ac:dyDescent="0.15">
      <c r="A69" s="14"/>
      <c r="B69" s="16"/>
      <c r="C69" s="17"/>
      <c r="D69" s="17"/>
      <c r="E69" s="17"/>
      <c r="F69" s="17"/>
      <c r="G69" s="17"/>
      <c r="H69" s="18" t="s">
        <v>70</v>
      </c>
      <c r="I69" s="17"/>
      <c r="J69" s="17"/>
      <c r="K69" s="17"/>
      <c r="L69" s="14"/>
    </row>
    <row r="70" spans="1:12" ht="21.75" customHeight="1" x14ac:dyDescent="0.15">
      <c r="A70" s="14"/>
      <c r="B70" s="16"/>
      <c r="C70" s="17"/>
      <c r="D70" s="17"/>
      <c r="E70" s="17"/>
      <c r="F70" s="17"/>
      <c r="G70" s="17"/>
      <c r="H70" s="18" t="s">
        <v>70</v>
      </c>
      <c r="I70" s="17"/>
      <c r="J70" s="17"/>
      <c r="K70" s="17"/>
      <c r="L70" s="14"/>
    </row>
    <row r="71" spans="1:12" ht="21.75" customHeight="1" x14ac:dyDescent="0.15">
      <c r="A71" s="14"/>
      <c r="B71" s="16"/>
      <c r="C71" s="17"/>
      <c r="D71" s="17"/>
      <c r="E71" s="17"/>
      <c r="F71" s="17"/>
      <c r="G71" s="17"/>
      <c r="H71" s="18" t="s">
        <v>70</v>
      </c>
      <c r="I71" s="17"/>
      <c r="J71" s="17"/>
      <c r="K71" s="17"/>
      <c r="L71" s="14"/>
    </row>
    <row r="72" spans="1:12" ht="21.75" customHeight="1" x14ac:dyDescent="0.15">
      <c r="A72" s="14"/>
      <c r="B72" s="16"/>
      <c r="C72" s="17"/>
      <c r="D72" s="17"/>
      <c r="E72" s="17"/>
      <c r="F72" s="17"/>
      <c r="G72" s="17"/>
      <c r="H72" s="18" t="s">
        <v>70</v>
      </c>
      <c r="I72" s="17"/>
      <c r="J72" s="17"/>
      <c r="K72" s="17"/>
      <c r="L72" s="14"/>
    </row>
    <row r="73" spans="1:12" ht="21.75" customHeight="1" x14ac:dyDescent="0.15">
      <c r="A73" s="14"/>
      <c r="B73" s="16"/>
      <c r="C73" s="17"/>
      <c r="D73" s="17"/>
      <c r="E73" s="17"/>
      <c r="F73" s="17"/>
      <c r="G73" s="17"/>
      <c r="H73" s="18" t="s">
        <v>70</v>
      </c>
      <c r="I73" s="17"/>
      <c r="J73" s="17"/>
      <c r="K73" s="17"/>
      <c r="L73" s="14"/>
    </row>
    <row r="74" spans="1:12" ht="21.75" customHeight="1" x14ac:dyDescent="0.15">
      <c r="A74" s="14"/>
      <c r="B74" s="16"/>
      <c r="C74" s="17"/>
      <c r="D74" s="17"/>
      <c r="E74" s="17"/>
      <c r="F74" s="17"/>
      <c r="G74" s="17"/>
      <c r="H74" s="18" t="s">
        <v>70</v>
      </c>
      <c r="I74" s="17"/>
      <c r="J74" s="17"/>
      <c r="K74" s="17"/>
      <c r="L74" s="14"/>
    </row>
    <row r="75" spans="1:12" ht="21.75" customHeight="1" x14ac:dyDescent="0.15">
      <c r="A75" s="14"/>
      <c r="B75" s="16"/>
      <c r="C75" s="17"/>
      <c r="D75" s="17"/>
      <c r="E75" s="17"/>
      <c r="F75" s="17"/>
      <c r="G75" s="17"/>
      <c r="H75" s="18" t="s">
        <v>70</v>
      </c>
      <c r="I75" s="17"/>
      <c r="J75" s="17"/>
      <c r="K75" s="17"/>
      <c r="L75" s="14"/>
    </row>
    <row r="76" spans="1:12" ht="21.75" customHeight="1" x14ac:dyDescent="0.15">
      <c r="A76" s="14"/>
      <c r="B76" s="16"/>
      <c r="C76" s="17"/>
      <c r="D76" s="17"/>
      <c r="E76" s="17"/>
      <c r="F76" s="17"/>
      <c r="G76" s="17"/>
      <c r="H76" s="18" t="s">
        <v>70</v>
      </c>
      <c r="I76" s="17"/>
      <c r="J76" s="17"/>
      <c r="K76" s="17"/>
      <c r="L76" s="14"/>
    </row>
    <row r="77" spans="1:12" ht="21.75" customHeight="1" x14ac:dyDescent="0.15">
      <c r="A77" s="14"/>
      <c r="B77" s="16"/>
      <c r="C77" s="17"/>
      <c r="D77" s="17"/>
      <c r="E77" s="17"/>
      <c r="F77" s="17"/>
      <c r="G77" s="17"/>
      <c r="H77" s="18" t="s">
        <v>70</v>
      </c>
      <c r="I77" s="17"/>
      <c r="J77" s="17"/>
      <c r="K77" s="17"/>
      <c r="L77" s="14"/>
    </row>
    <row r="78" spans="1:12" ht="21.75" customHeight="1" x14ac:dyDescent="0.15">
      <c r="A78" s="14"/>
      <c r="B78" s="16"/>
      <c r="C78" s="17"/>
      <c r="D78" s="17"/>
      <c r="E78" s="17"/>
      <c r="F78" s="17"/>
      <c r="G78" s="17"/>
      <c r="H78" s="18" t="s">
        <v>70</v>
      </c>
      <c r="I78" s="17"/>
      <c r="J78" s="17"/>
      <c r="K78" s="17"/>
      <c r="L78" s="14"/>
    </row>
    <row r="79" spans="1:12" ht="21.75" customHeight="1" x14ac:dyDescent="0.15">
      <c r="A79" s="14"/>
      <c r="B79" s="16"/>
      <c r="C79" s="17"/>
      <c r="D79" s="17"/>
      <c r="E79" s="17"/>
      <c r="F79" s="17"/>
      <c r="G79" s="17"/>
      <c r="H79" s="18" t="s">
        <v>70</v>
      </c>
      <c r="I79" s="17"/>
      <c r="J79" s="17"/>
      <c r="K79" s="17"/>
      <c r="L79" s="14"/>
    </row>
    <row r="80" spans="1:12" ht="21.75" customHeight="1" x14ac:dyDescent="0.15">
      <c r="A80" s="14"/>
      <c r="B80" s="16"/>
      <c r="C80" s="17"/>
      <c r="D80" s="17"/>
      <c r="E80" s="17"/>
      <c r="F80" s="17"/>
      <c r="G80" s="17"/>
      <c r="H80" s="18" t="s">
        <v>70</v>
      </c>
      <c r="I80" s="17"/>
      <c r="J80" s="17"/>
      <c r="K80" s="17"/>
      <c r="L80" s="14"/>
    </row>
    <row r="81" spans="1:12" ht="21.75" customHeight="1" x14ac:dyDescent="0.15">
      <c r="A81" s="14"/>
      <c r="B81" s="16"/>
      <c r="C81" s="17"/>
      <c r="D81" s="17"/>
      <c r="E81" s="17"/>
      <c r="F81" s="17"/>
      <c r="G81" s="17"/>
      <c r="H81" s="18" t="s">
        <v>70</v>
      </c>
      <c r="I81" s="17"/>
      <c r="J81" s="17"/>
      <c r="K81" s="17"/>
      <c r="L81" s="14"/>
    </row>
    <row r="82" spans="1:12" ht="21.75" customHeight="1" x14ac:dyDescent="0.15">
      <c r="A82" s="14"/>
      <c r="B82" s="16"/>
      <c r="C82" s="17"/>
      <c r="D82" s="17"/>
      <c r="E82" s="17"/>
      <c r="F82" s="17"/>
      <c r="G82" s="17"/>
      <c r="H82" s="18" t="s">
        <v>70</v>
      </c>
      <c r="I82" s="17"/>
      <c r="J82" s="17"/>
      <c r="K82" s="17"/>
      <c r="L82" s="14"/>
    </row>
    <row r="83" spans="1:12" ht="21.75" customHeight="1" x14ac:dyDescent="0.15">
      <c r="A83" s="14"/>
      <c r="B83" s="16"/>
      <c r="C83" s="17"/>
      <c r="D83" s="17"/>
      <c r="E83" s="17"/>
      <c r="F83" s="17"/>
      <c r="G83" s="17"/>
      <c r="H83" s="18" t="s">
        <v>70</v>
      </c>
      <c r="I83" s="17"/>
      <c r="J83" s="17"/>
      <c r="K83" s="17"/>
      <c r="L83" s="14"/>
    </row>
    <row r="84" spans="1:12" ht="21.75" customHeight="1" x14ac:dyDescent="0.15">
      <c r="A84" s="14"/>
      <c r="B84" s="16"/>
      <c r="C84" s="17"/>
      <c r="D84" s="17"/>
      <c r="E84" s="17"/>
      <c r="F84" s="17"/>
      <c r="G84" s="17"/>
      <c r="H84" s="18" t="s">
        <v>70</v>
      </c>
      <c r="I84" s="17"/>
      <c r="J84" s="17"/>
      <c r="K84" s="17"/>
      <c r="L84" s="14"/>
    </row>
    <row r="85" spans="1:12" ht="21.75" customHeight="1" x14ac:dyDescent="0.15">
      <c r="A85" s="14"/>
      <c r="B85" s="16"/>
      <c r="C85" s="17"/>
      <c r="D85" s="17"/>
      <c r="E85" s="17"/>
      <c r="F85" s="17"/>
      <c r="G85" s="17"/>
      <c r="H85" s="18" t="s">
        <v>70</v>
      </c>
      <c r="I85" s="17"/>
      <c r="J85" s="17"/>
      <c r="K85" s="17"/>
      <c r="L85" s="14"/>
    </row>
    <row r="86" spans="1:12" ht="21.75" customHeight="1" x14ac:dyDescent="0.15">
      <c r="A86" s="14"/>
      <c r="B86" s="16"/>
      <c r="C86" s="17"/>
      <c r="D86" s="17"/>
      <c r="E86" s="17"/>
      <c r="F86" s="17"/>
      <c r="G86" s="17"/>
      <c r="H86" s="18" t="s">
        <v>70</v>
      </c>
      <c r="I86" s="17"/>
      <c r="J86" s="17"/>
      <c r="K86" s="17"/>
      <c r="L86" s="14"/>
    </row>
    <row r="87" spans="1:12" ht="21.75" customHeight="1" x14ac:dyDescent="0.15">
      <c r="A87" s="14"/>
      <c r="B87" s="16"/>
      <c r="C87" s="17"/>
      <c r="D87" s="17"/>
      <c r="E87" s="17"/>
      <c r="F87" s="17"/>
      <c r="G87" s="17"/>
      <c r="H87" s="18" t="s">
        <v>70</v>
      </c>
      <c r="I87" s="17"/>
      <c r="J87" s="17"/>
      <c r="K87" s="17"/>
      <c r="L87" s="14"/>
    </row>
    <row r="88" spans="1:12" ht="21.75" customHeight="1" x14ac:dyDescent="0.15">
      <c r="A88" s="14"/>
      <c r="B88" s="16"/>
      <c r="C88" s="17"/>
      <c r="D88" s="17"/>
      <c r="E88" s="17"/>
      <c r="F88" s="17"/>
      <c r="G88" s="17"/>
      <c r="H88" s="18" t="s">
        <v>70</v>
      </c>
      <c r="I88" s="17"/>
      <c r="J88" s="17"/>
      <c r="K88" s="17"/>
      <c r="L88" s="14"/>
    </row>
    <row r="89" spans="1:12" ht="21.75" customHeight="1" x14ac:dyDescent="0.15">
      <c r="A89" s="14"/>
      <c r="B89" s="16"/>
      <c r="C89" s="17"/>
      <c r="D89" s="17"/>
      <c r="E89" s="17"/>
      <c r="F89" s="17"/>
      <c r="G89" s="17"/>
      <c r="H89" s="18" t="s">
        <v>70</v>
      </c>
      <c r="I89" s="17"/>
      <c r="J89" s="17"/>
      <c r="K89" s="17"/>
      <c r="L89" s="14"/>
    </row>
    <row r="90" spans="1:12" ht="21.75" customHeight="1" x14ac:dyDescent="0.15">
      <c r="A90" s="14"/>
      <c r="B90" s="16"/>
      <c r="C90" s="17"/>
      <c r="D90" s="17"/>
      <c r="E90" s="17"/>
      <c r="F90" s="17"/>
      <c r="G90" s="17"/>
      <c r="H90" s="18" t="s">
        <v>70</v>
      </c>
      <c r="I90" s="17"/>
      <c r="J90" s="17"/>
      <c r="K90" s="17"/>
      <c r="L90" s="14"/>
    </row>
    <row r="91" spans="1:12" ht="21.75" customHeight="1" x14ac:dyDescent="0.15">
      <c r="A91" s="14"/>
      <c r="B91" s="16"/>
      <c r="C91" s="17"/>
      <c r="D91" s="17"/>
      <c r="E91" s="17"/>
      <c r="F91" s="17"/>
      <c r="G91" s="17"/>
      <c r="H91" s="18" t="s">
        <v>70</v>
      </c>
      <c r="I91" s="17"/>
      <c r="J91" s="17"/>
      <c r="K91" s="17"/>
      <c r="L91" s="14"/>
    </row>
    <row r="92" spans="1:12" ht="21.75" customHeight="1" x14ac:dyDescent="0.15">
      <c r="A92" s="14"/>
      <c r="B92" s="16"/>
      <c r="C92" s="17"/>
      <c r="D92" s="17"/>
      <c r="E92" s="17"/>
      <c r="F92" s="17"/>
      <c r="G92" s="17"/>
      <c r="H92" s="18" t="s">
        <v>70</v>
      </c>
      <c r="I92" s="17"/>
      <c r="J92" s="17"/>
      <c r="K92" s="17"/>
      <c r="L92" s="14"/>
    </row>
    <row r="93" spans="1:12" ht="21.75" customHeight="1" x14ac:dyDescent="0.15">
      <c r="A93" s="14"/>
      <c r="B93" s="16"/>
      <c r="C93" s="17"/>
      <c r="D93" s="17"/>
      <c r="E93" s="17"/>
      <c r="F93" s="17"/>
      <c r="G93" s="17"/>
      <c r="H93" s="18" t="s">
        <v>70</v>
      </c>
      <c r="I93" s="17"/>
      <c r="J93" s="17"/>
      <c r="K93" s="17"/>
      <c r="L93" s="14"/>
    </row>
    <row r="94" spans="1:12" ht="21.75" customHeight="1" x14ac:dyDescent="0.15">
      <c r="A94" s="14"/>
      <c r="B94" s="16"/>
      <c r="C94" s="17"/>
      <c r="D94" s="17"/>
      <c r="E94" s="17"/>
      <c r="F94" s="17"/>
      <c r="G94" s="17"/>
      <c r="H94" s="18" t="s">
        <v>70</v>
      </c>
      <c r="I94" s="17"/>
      <c r="J94" s="17"/>
      <c r="K94" s="17"/>
      <c r="L94" s="14"/>
    </row>
    <row r="95" spans="1:12" ht="21.75" customHeight="1" x14ac:dyDescent="0.15">
      <c r="A95" s="14"/>
      <c r="B95" s="16"/>
      <c r="C95" s="17"/>
      <c r="D95" s="17"/>
      <c r="E95" s="17"/>
      <c r="F95" s="17"/>
      <c r="G95" s="17"/>
      <c r="H95" s="18" t="s">
        <v>70</v>
      </c>
      <c r="I95" s="17"/>
      <c r="J95" s="17"/>
      <c r="K95" s="17"/>
      <c r="L95" s="14"/>
    </row>
    <row r="96" spans="1:12" ht="21.75" customHeight="1" x14ac:dyDescent="0.15">
      <c r="A96" s="14"/>
      <c r="B96" s="16"/>
      <c r="C96" s="17"/>
      <c r="D96" s="17"/>
      <c r="E96" s="17"/>
      <c r="F96" s="17"/>
      <c r="G96" s="17"/>
      <c r="H96" s="18" t="s">
        <v>70</v>
      </c>
      <c r="I96" s="17"/>
      <c r="J96" s="17"/>
      <c r="K96" s="17"/>
      <c r="L96" s="14"/>
    </row>
    <row r="97" spans="1:12" ht="21.75" customHeight="1" x14ac:dyDescent="0.15">
      <c r="A97" s="14"/>
      <c r="B97" s="16"/>
      <c r="C97" s="17"/>
      <c r="D97" s="17"/>
      <c r="E97" s="17"/>
      <c r="F97" s="17"/>
      <c r="G97" s="17"/>
      <c r="H97" s="18" t="s">
        <v>70</v>
      </c>
      <c r="I97" s="17"/>
      <c r="J97" s="17"/>
      <c r="K97" s="17"/>
      <c r="L97" s="14"/>
    </row>
    <row r="98" spans="1:12" ht="21.75" customHeight="1" x14ac:dyDescent="0.15">
      <c r="A98" s="14"/>
      <c r="B98" s="16"/>
      <c r="C98" s="17"/>
      <c r="D98" s="17"/>
      <c r="E98" s="17"/>
      <c r="F98" s="17"/>
      <c r="G98" s="17"/>
      <c r="H98" s="18" t="s">
        <v>70</v>
      </c>
      <c r="I98" s="17"/>
      <c r="J98" s="17"/>
      <c r="K98" s="17"/>
      <c r="L98" s="14"/>
    </row>
    <row r="99" spans="1:12" ht="21.75" customHeight="1" x14ac:dyDescent="0.15">
      <c r="A99" s="14"/>
      <c r="B99" s="16"/>
      <c r="C99" s="17"/>
      <c r="D99" s="17"/>
      <c r="E99" s="17"/>
      <c r="F99" s="17"/>
      <c r="G99" s="17"/>
      <c r="H99" s="18" t="s">
        <v>70</v>
      </c>
      <c r="I99" s="17"/>
      <c r="J99" s="17"/>
      <c r="K99" s="17"/>
      <c r="L99" s="14"/>
    </row>
    <row r="100" spans="1:12" ht="21.75" customHeight="1" x14ac:dyDescent="0.15">
      <c r="A100" s="14"/>
      <c r="B100" s="16"/>
      <c r="C100" s="17"/>
      <c r="D100" s="17"/>
      <c r="E100" s="17"/>
      <c r="F100" s="17"/>
      <c r="G100" s="17"/>
      <c r="H100" s="18" t="s">
        <v>70</v>
      </c>
      <c r="I100" s="17"/>
      <c r="J100" s="17"/>
      <c r="K100" s="17"/>
      <c r="L100" s="14"/>
    </row>
    <row r="101" spans="1:12" ht="21.75" customHeight="1" x14ac:dyDescent="0.15">
      <c r="A101" s="14"/>
      <c r="B101" s="16"/>
      <c r="C101" s="17"/>
      <c r="D101" s="17"/>
      <c r="E101" s="17"/>
      <c r="F101" s="17"/>
      <c r="G101" s="17"/>
      <c r="H101" s="18" t="s">
        <v>70</v>
      </c>
      <c r="I101" s="17"/>
      <c r="J101" s="17"/>
      <c r="K101" s="17"/>
      <c r="L101" s="14"/>
    </row>
    <row r="102" spans="1:12" ht="21.75" customHeight="1" x14ac:dyDescent="0.15">
      <c r="A102" s="14"/>
      <c r="B102" s="16"/>
      <c r="C102" s="17"/>
      <c r="D102" s="17"/>
      <c r="E102" s="17"/>
      <c r="F102" s="17"/>
      <c r="G102" s="17"/>
      <c r="H102" s="18" t="s">
        <v>70</v>
      </c>
      <c r="I102" s="17"/>
      <c r="J102" s="17"/>
      <c r="K102" s="17"/>
      <c r="L102" s="14"/>
    </row>
    <row r="103" spans="1:12" ht="21.75" customHeight="1" x14ac:dyDescent="0.15">
      <c r="A103" s="14"/>
      <c r="B103" s="16"/>
      <c r="C103" s="17"/>
      <c r="D103" s="17"/>
      <c r="E103" s="17"/>
      <c r="F103" s="17"/>
      <c r="G103" s="17"/>
      <c r="H103" s="18" t="s">
        <v>70</v>
      </c>
      <c r="I103" s="17"/>
      <c r="J103" s="17"/>
      <c r="K103" s="17"/>
      <c r="L103" s="14"/>
    </row>
    <row r="104" spans="1:12" ht="21.75" customHeight="1" x14ac:dyDescent="0.15">
      <c r="A104" s="14"/>
      <c r="B104" s="16"/>
      <c r="C104" s="17"/>
      <c r="D104" s="17"/>
      <c r="E104" s="17"/>
      <c r="F104" s="17"/>
      <c r="G104" s="17"/>
      <c r="H104" s="18" t="s">
        <v>70</v>
      </c>
      <c r="I104" s="17"/>
      <c r="J104" s="17"/>
      <c r="K104" s="17"/>
      <c r="L104" s="14"/>
    </row>
    <row r="105" spans="1:12" ht="21.75" customHeight="1" x14ac:dyDescent="0.15">
      <c r="A105" s="14"/>
      <c r="B105" s="16"/>
      <c r="C105" s="17"/>
      <c r="D105" s="17"/>
      <c r="E105" s="17"/>
      <c r="F105" s="17"/>
      <c r="G105" s="17"/>
      <c r="H105" s="18" t="s">
        <v>70</v>
      </c>
      <c r="I105" s="17"/>
      <c r="J105" s="17"/>
      <c r="K105" s="17"/>
      <c r="L105" s="14"/>
    </row>
    <row r="106" spans="1:12" ht="21.75" customHeight="1" x14ac:dyDescent="0.15">
      <c r="A106" s="14"/>
      <c r="B106" s="16"/>
      <c r="C106" s="17"/>
      <c r="D106" s="17"/>
      <c r="E106" s="17"/>
      <c r="F106" s="17"/>
      <c r="G106" s="17"/>
      <c r="H106" s="18" t="s">
        <v>70</v>
      </c>
      <c r="I106" s="17"/>
      <c r="J106" s="17"/>
      <c r="K106" s="17"/>
      <c r="L106" s="14"/>
    </row>
    <row r="107" spans="1:12" ht="21.75" customHeight="1" x14ac:dyDescent="0.15">
      <c r="A107" s="14"/>
      <c r="B107" s="16"/>
      <c r="C107" s="17"/>
      <c r="D107" s="17"/>
      <c r="E107" s="17"/>
      <c r="F107" s="17"/>
      <c r="G107" s="17"/>
      <c r="H107" s="18" t="s">
        <v>70</v>
      </c>
      <c r="I107" s="17"/>
      <c r="J107" s="17"/>
      <c r="K107" s="17"/>
      <c r="L107" s="14"/>
    </row>
    <row r="108" spans="1:12" ht="21.75" customHeight="1" x14ac:dyDescent="0.15">
      <c r="A108" s="14"/>
      <c r="B108" s="16"/>
      <c r="C108" s="17"/>
      <c r="D108" s="17"/>
      <c r="E108" s="17"/>
      <c r="F108" s="17"/>
      <c r="G108" s="17"/>
      <c r="H108" s="18" t="s">
        <v>70</v>
      </c>
      <c r="I108" s="17"/>
      <c r="J108" s="17"/>
      <c r="K108" s="17"/>
      <c r="L108" s="14"/>
    </row>
    <row r="109" spans="1:12" ht="21.75" customHeight="1" x14ac:dyDescent="0.15">
      <c r="A109" s="14"/>
      <c r="B109" s="16"/>
      <c r="C109" s="17"/>
      <c r="D109" s="17"/>
      <c r="E109" s="17"/>
      <c r="F109" s="17"/>
      <c r="G109" s="17"/>
      <c r="H109" s="18" t="s">
        <v>70</v>
      </c>
      <c r="I109" s="17"/>
      <c r="J109" s="17"/>
      <c r="K109" s="17"/>
      <c r="L109" s="14"/>
    </row>
    <row r="110" spans="1:12" ht="21.75" customHeight="1" x14ac:dyDescent="0.15">
      <c r="A110" s="14"/>
      <c r="B110" s="16"/>
      <c r="C110" s="17"/>
      <c r="D110" s="17"/>
      <c r="E110" s="17"/>
      <c r="F110" s="17"/>
      <c r="G110" s="17"/>
      <c r="H110" s="18" t="s">
        <v>70</v>
      </c>
      <c r="I110" s="17"/>
      <c r="J110" s="17"/>
      <c r="K110" s="17"/>
      <c r="L110" s="14"/>
    </row>
    <row r="111" spans="1:12" ht="21.75" customHeight="1" x14ac:dyDescent="0.15">
      <c r="A111" s="14"/>
      <c r="B111" s="16"/>
      <c r="C111" s="17"/>
      <c r="D111" s="17"/>
      <c r="E111" s="17"/>
      <c r="F111" s="17"/>
      <c r="G111" s="17"/>
      <c r="H111" s="18" t="s">
        <v>70</v>
      </c>
      <c r="I111" s="17"/>
      <c r="J111" s="17"/>
      <c r="K111" s="17"/>
      <c r="L111" s="14"/>
    </row>
    <row r="112" spans="1:12" ht="21.75" customHeight="1" x14ac:dyDescent="0.15">
      <c r="A112" s="14"/>
      <c r="B112" s="16"/>
      <c r="C112" s="17"/>
      <c r="D112" s="17"/>
      <c r="E112" s="17"/>
      <c r="F112" s="17"/>
      <c r="G112" s="17"/>
      <c r="H112" s="18" t="s">
        <v>70</v>
      </c>
      <c r="I112" s="17"/>
      <c r="J112" s="17"/>
      <c r="K112" s="17"/>
      <c r="L112" s="14"/>
    </row>
    <row r="113" spans="1:12" ht="21.75" customHeight="1" x14ac:dyDescent="0.15">
      <c r="A113" s="14"/>
      <c r="B113" s="16"/>
      <c r="C113" s="17"/>
      <c r="D113" s="17"/>
      <c r="E113" s="17"/>
      <c r="F113" s="17"/>
      <c r="G113" s="17"/>
      <c r="H113" s="18" t="s">
        <v>70</v>
      </c>
      <c r="I113" s="17"/>
      <c r="J113" s="17"/>
      <c r="K113" s="17"/>
      <c r="L113" s="14"/>
    </row>
    <row r="114" spans="1:12" ht="21.75" customHeight="1" x14ac:dyDescent="0.15">
      <c r="A114" s="14"/>
      <c r="B114" s="16"/>
      <c r="C114" s="17"/>
      <c r="D114" s="17"/>
      <c r="E114" s="17"/>
      <c r="F114" s="17"/>
      <c r="G114" s="17"/>
      <c r="H114" s="18" t="s">
        <v>70</v>
      </c>
      <c r="I114" s="17"/>
      <c r="J114" s="17"/>
      <c r="K114" s="17"/>
      <c r="L114" s="14"/>
    </row>
    <row r="115" spans="1:12" ht="21.75" customHeight="1" x14ac:dyDescent="0.15">
      <c r="A115" s="14"/>
      <c r="B115" s="16"/>
      <c r="C115" s="17"/>
      <c r="D115" s="17"/>
      <c r="E115" s="17"/>
      <c r="F115" s="17"/>
      <c r="G115" s="17"/>
      <c r="H115" s="18" t="s">
        <v>70</v>
      </c>
      <c r="I115" s="17"/>
      <c r="J115" s="17"/>
      <c r="K115" s="17"/>
      <c r="L115" s="14"/>
    </row>
    <row r="116" spans="1:12" ht="21.75" customHeight="1" x14ac:dyDescent="0.15">
      <c r="A116" s="14"/>
      <c r="B116" s="16"/>
      <c r="C116" s="17"/>
      <c r="D116" s="17"/>
      <c r="E116" s="17"/>
      <c r="F116" s="17"/>
      <c r="G116" s="17"/>
      <c r="H116" s="18" t="s">
        <v>70</v>
      </c>
      <c r="I116" s="17"/>
      <c r="J116" s="17"/>
      <c r="K116" s="17"/>
      <c r="L116" s="14"/>
    </row>
    <row r="117" spans="1:12" ht="21.75" customHeight="1" x14ac:dyDescent="0.15">
      <c r="A117" s="14"/>
      <c r="B117" s="16"/>
      <c r="C117" s="17"/>
      <c r="D117" s="17"/>
      <c r="E117" s="17"/>
      <c r="F117" s="17"/>
      <c r="G117" s="17"/>
      <c r="H117" s="18" t="s">
        <v>70</v>
      </c>
      <c r="I117" s="17"/>
      <c r="J117" s="17"/>
      <c r="K117" s="17"/>
      <c r="L117" s="14"/>
    </row>
    <row r="118" spans="1:12" ht="21.75" customHeight="1" x14ac:dyDescent="0.15">
      <c r="A118" s="14"/>
      <c r="B118" s="16"/>
      <c r="C118" s="17"/>
      <c r="D118" s="17"/>
      <c r="E118" s="17"/>
      <c r="F118" s="17"/>
      <c r="G118" s="17"/>
      <c r="H118" s="18" t="s">
        <v>70</v>
      </c>
      <c r="I118" s="17"/>
      <c r="J118" s="17"/>
      <c r="K118" s="17"/>
      <c r="L118" s="14"/>
    </row>
    <row r="119" spans="1:12" ht="21.75" customHeight="1" x14ac:dyDescent="0.15">
      <c r="A119" s="14"/>
      <c r="B119" s="16"/>
      <c r="C119" s="17"/>
      <c r="D119" s="17"/>
      <c r="E119" s="17"/>
      <c r="F119" s="17"/>
      <c r="G119" s="17"/>
      <c r="H119" s="18" t="s">
        <v>70</v>
      </c>
      <c r="I119" s="17"/>
      <c r="J119" s="17"/>
      <c r="K119" s="17"/>
      <c r="L119" s="14"/>
    </row>
    <row r="120" spans="1:12" ht="21.75" customHeight="1" x14ac:dyDescent="0.15">
      <c r="A120" s="14"/>
      <c r="B120" s="16"/>
      <c r="C120" s="17"/>
      <c r="D120" s="17"/>
      <c r="E120" s="17"/>
      <c r="F120" s="17"/>
      <c r="G120" s="17"/>
      <c r="H120" s="18" t="s">
        <v>70</v>
      </c>
      <c r="I120" s="17"/>
      <c r="J120" s="17"/>
      <c r="K120" s="17"/>
      <c r="L120" s="14"/>
    </row>
    <row r="121" spans="1:12" ht="21.75" customHeight="1" x14ac:dyDescent="0.15">
      <c r="A121" s="14"/>
      <c r="B121" s="16"/>
      <c r="C121" s="17"/>
      <c r="D121" s="17"/>
      <c r="E121" s="17"/>
      <c r="F121" s="17"/>
      <c r="G121" s="17"/>
      <c r="H121" s="18" t="s">
        <v>70</v>
      </c>
      <c r="I121" s="17"/>
      <c r="J121" s="17"/>
      <c r="K121" s="17"/>
      <c r="L121" s="14"/>
    </row>
    <row r="122" spans="1:12" ht="21.75" customHeight="1" x14ac:dyDescent="0.15">
      <c r="A122" s="14"/>
      <c r="B122" s="16"/>
      <c r="C122" s="17"/>
      <c r="D122" s="17"/>
      <c r="E122" s="17"/>
      <c r="F122" s="17"/>
      <c r="G122" s="17"/>
      <c r="H122" s="18" t="s">
        <v>70</v>
      </c>
      <c r="I122" s="17"/>
      <c r="J122" s="17"/>
      <c r="K122" s="17"/>
      <c r="L122" s="14"/>
    </row>
    <row r="123" spans="1:12" ht="21.75" customHeight="1" x14ac:dyDescent="0.15">
      <c r="A123" s="14"/>
      <c r="B123" s="16"/>
      <c r="C123" s="17"/>
      <c r="D123" s="17"/>
      <c r="E123" s="17"/>
      <c r="F123" s="17"/>
      <c r="G123" s="17"/>
      <c r="H123" s="18" t="s">
        <v>70</v>
      </c>
      <c r="I123" s="17"/>
      <c r="J123" s="17"/>
      <c r="K123" s="17"/>
      <c r="L123" s="14"/>
    </row>
    <row r="124" spans="1:12" ht="21.75" customHeight="1" x14ac:dyDescent="0.15">
      <c r="A124" s="14"/>
      <c r="B124" s="16"/>
      <c r="C124" s="17"/>
      <c r="D124" s="17"/>
      <c r="E124" s="17"/>
      <c r="F124" s="17"/>
      <c r="G124" s="17"/>
      <c r="H124" s="18" t="s">
        <v>70</v>
      </c>
      <c r="I124" s="17"/>
      <c r="J124" s="17"/>
      <c r="K124" s="17"/>
      <c r="L124" s="14"/>
    </row>
    <row r="125" spans="1:12" ht="21.75" customHeight="1" x14ac:dyDescent="0.15">
      <c r="A125" s="14"/>
      <c r="B125" s="16"/>
      <c r="C125" s="17"/>
      <c r="D125" s="17"/>
      <c r="E125" s="17"/>
      <c r="F125" s="17"/>
      <c r="G125" s="17"/>
      <c r="H125" s="18" t="s">
        <v>70</v>
      </c>
      <c r="I125" s="17"/>
      <c r="J125" s="17"/>
      <c r="K125" s="17"/>
      <c r="L125" s="14"/>
    </row>
    <row r="126" spans="1:12" ht="21.75" customHeight="1" x14ac:dyDescent="0.15">
      <c r="A126" s="14"/>
      <c r="B126" s="16"/>
      <c r="C126" s="17"/>
      <c r="D126" s="17"/>
      <c r="E126" s="17"/>
      <c r="F126" s="17"/>
      <c r="G126" s="17"/>
      <c r="H126" s="18" t="s">
        <v>70</v>
      </c>
      <c r="I126" s="17"/>
      <c r="J126" s="17"/>
      <c r="K126" s="17"/>
      <c r="L126" s="14"/>
    </row>
    <row r="127" spans="1:12" ht="21.75" customHeight="1" x14ac:dyDescent="0.15">
      <c r="A127" s="14"/>
      <c r="B127" s="16"/>
      <c r="C127" s="17"/>
      <c r="D127" s="17"/>
      <c r="E127" s="17"/>
      <c r="F127" s="17"/>
      <c r="G127" s="17"/>
      <c r="H127" s="18" t="s">
        <v>70</v>
      </c>
      <c r="I127" s="17"/>
      <c r="J127" s="17"/>
      <c r="K127" s="17"/>
      <c r="L127" s="14"/>
    </row>
    <row r="128" spans="1:12" ht="21.75" customHeight="1" x14ac:dyDescent="0.15">
      <c r="A128" s="14"/>
      <c r="B128" s="16"/>
      <c r="C128" s="17"/>
      <c r="D128" s="17"/>
      <c r="E128" s="17"/>
      <c r="F128" s="17"/>
      <c r="G128" s="17"/>
      <c r="H128" s="18" t="s">
        <v>70</v>
      </c>
      <c r="I128" s="17"/>
      <c r="J128" s="17"/>
      <c r="K128" s="17"/>
      <c r="L128" s="14"/>
    </row>
    <row r="129" spans="1:12" ht="21.75" customHeight="1" x14ac:dyDescent="0.15">
      <c r="A129" s="14"/>
      <c r="B129" s="16"/>
      <c r="C129" s="17"/>
      <c r="D129" s="17"/>
      <c r="E129" s="17"/>
      <c r="F129" s="17"/>
      <c r="G129" s="17"/>
      <c r="H129" s="18" t="s">
        <v>70</v>
      </c>
      <c r="I129" s="17"/>
      <c r="J129" s="17"/>
      <c r="K129" s="17"/>
      <c r="L129" s="14"/>
    </row>
    <row r="130" spans="1:12" ht="21.75" customHeight="1" x14ac:dyDescent="0.15">
      <c r="A130" s="14"/>
      <c r="B130" s="16"/>
      <c r="C130" s="17"/>
      <c r="D130" s="17"/>
      <c r="E130" s="17"/>
      <c r="F130" s="17"/>
      <c r="G130" s="17"/>
      <c r="H130" s="18" t="s">
        <v>70</v>
      </c>
      <c r="I130" s="17"/>
      <c r="J130" s="17"/>
      <c r="K130" s="17"/>
      <c r="L130" s="14"/>
    </row>
    <row r="131" spans="1:12" ht="21.75" customHeight="1" x14ac:dyDescent="0.15">
      <c r="A131" s="14"/>
      <c r="B131" s="16"/>
      <c r="C131" s="17"/>
      <c r="D131" s="17"/>
      <c r="E131" s="17"/>
      <c r="F131" s="17"/>
      <c r="G131" s="17"/>
      <c r="H131" s="18" t="s">
        <v>70</v>
      </c>
      <c r="I131" s="17"/>
      <c r="J131" s="17"/>
      <c r="K131" s="17"/>
      <c r="L131" s="14"/>
    </row>
    <row r="132" spans="1:12" ht="21.75" customHeight="1" x14ac:dyDescent="0.15">
      <c r="A132" s="14"/>
      <c r="B132" s="16"/>
      <c r="C132" s="17"/>
      <c r="D132" s="17"/>
      <c r="E132" s="17"/>
      <c r="F132" s="17"/>
      <c r="G132" s="17"/>
      <c r="H132" s="18" t="s">
        <v>70</v>
      </c>
      <c r="I132" s="17"/>
      <c r="J132" s="17"/>
      <c r="K132" s="17"/>
      <c r="L132" s="14"/>
    </row>
    <row r="133" spans="1:12" ht="21.75" customHeight="1" x14ac:dyDescent="0.15">
      <c r="A133" s="14"/>
      <c r="B133" s="16"/>
      <c r="C133" s="17"/>
      <c r="D133" s="17"/>
      <c r="E133" s="17"/>
      <c r="F133" s="17"/>
      <c r="G133" s="17"/>
      <c r="H133" s="18" t="s">
        <v>70</v>
      </c>
      <c r="I133" s="17"/>
      <c r="J133" s="17"/>
      <c r="K133" s="17"/>
      <c r="L133" s="14"/>
    </row>
    <row r="134" spans="1:12" ht="21.75" customHeight="1" x14ac:dyDescent="0.15">
      <c r="A134" s="14"/>
      <c r="B134" s="16"/>
      <c r="C134" s="17"/>
      <c r="D134" s="17"/>
      <c r="E134" s="17"/>
      <c r="F134" s="17"/>
      <c r="G134" s="17"/>
      <c r="H134" s="18" t="s">
        <v>70</v>
      </c>
      <c r="I134" s="17"/>
      <c r="J134" s="17"/>
      <c r="K134" s="17"/>
      <c r="L134" s="14"/>
    </row>
    <row r="135" spans="1:12" ht="21.75" customHeight="1" x14ac:dyDescent="0.15">
      <c r="A135" s="14"/>
      <c r="B135" s="16"/>
      <c r="C135" s="17"/>
      <c r="D135" s="17"/>
      <c r="E135" s="17"/>
      <c r="F135" s="17"/>
      <c r="G135" s="17"/>
      <c r="H135" s="18" t="s">
        <v>70</v>
      </c>
      <c r="I135" s="17"/>
      <c r="J135" s="17"/>
      <c r="K135" s="17"/>
      <c r="L135" s="14"/>
    </row>
    <row r="136" spans="1:12" ht="21.75" customHeight="1" x14ac:dyDescent="0.15">
      <c r="A136" s="14"/>
      <c r="B136" s="16"/>
      <c r="C136" s="17"/>
      <c r="D136" s="17"/>
      <c r="E136" s="17"/>
      <c r="F136" s="17"/>
      <c r="G136" s="17"/>
      <c r="H136" s="18" t="s">
        <v>70</v>
      </c>
      <c r="I136" s="17"/>
      <c r="J136" s="17"/>
      <c r="K136" s="17"/>
      <c r="L136" s="14"/>
    </row>
    <row r="137" spans="1:12" ht="21.75" customHeight="1" x14ac:dyDescent="0.15">
      <c r="A137" s="14"/>
      <c r="B137" s="16"/>
      <c r="C137" s="17"/>
      <c r="D137" s="17"/>
      <c r="E137" s="17"/>
      <c r="F137" s="17"/>
      <c r="G137" s="17"/>
      <c r="H137" s="18" t="s">
        <v>70</v>
      </c>
      <c r="I137" s="17"/>
      <c r="J137" s="17"/>
      <c r="K137" s="17"/>
      <c r="L137" s="14"/>
    </row>
    <row r="138" spans="1:12" ht="21.75" customHeight="1" x14ac:dyDescent="0.15">
      <c r="A138" s="14"/>
      <c r="B138" s="16"/>
      <c r="C138" s="17"/>
      <c r="D138" s="17"/>
      <c r="E138" s="17"/>
      <c r="F138" s="17"/>
      <c r="G138" s="17"/>
      <c r="H138" s="18" t="s">
        <v>70</v>
      </c>
      <c r="I138" s="17"/>
      <c r="J138" s="17"/>
      <c r="K138" s="17"/>
      <c r="L138" s="14"/>
    </row>
    <row r="139" spans="1:12" ht="21.75" customHeight="1" x14ac:dyDescent="0.15">
      <c r="A139" s="14"/>
      <c r="B139" s="16"/>
      <c r="C139" s="17"/>
      <c r="D139" s="17"/>
      <c r="E139" s="17"/>
      <c r="F139" s="17"/>
      <c r="G139" s="17"/>
      <c r="H139" s="18" t="s">
        <v>70</v>
      </c>
      <c r="I139" s="17"/>
      <c r="J139" s="17"/>
      <c r="K139" s="17"/>
      <c r="L139" s="14"/>
    </row>
    <row r="140" spans="1:12" ht="21.75" customHeight="1" x14ac:dyDescent="0.15">
      <c r="A140" s="14"/>
      <c r="B140" s="16"/>
      <c r="C140" s="17"/>
      <c r="D140" s="17"/>
      <c r="E140" s="17"/>
      <c r="F140" s="17"/>
      <c r="G140" s="17"/>
      <c r="H140" s="18" t="s">
        <v>70</v>
      </c>
      <c r="I140" s="17"/>
      <c r="J140" s="17"/>
      <c r="K140" s="17"/>
      <c r="L140" s="14"/>
    </row>
    <row r="141" spans="1:12" ht="21.75" customHeight="1" x14ac:dyDescent="0.15">
      <c r="A141" s="14"/>
      <c r="B141" s="16"/>
      <c r="C141" s="17"/>
      <c r="D141" s="17"/>
      <c r="E141" s="17"/>
      <c r="F141" s="17"/>
      <c r="G141" s="17"/>
      <c r="H141" s="18" t="s">
        <v>70</v>
      </c>
      <c r="I141" s="17"/>
      <c r="J141" s="17"/>
      <c r="K141" s="17"/>
      <c r="L141" s="14"/>
    </row>
    <row r="142" spans="1:12" ht="21.75" customHeight="1" x14ac:dyDescent="0.15">
      <c r="A142" s="14"/>
      <c r="B142" s="16"/>
      <c r="C142" s="17"/>
      <c r="D142" s="17"/>
      <c r="E142" s="17"/>
      <c r="F142" s="17"/>
      <c r="G142" s="17"/>
      <c r="H142" s="18" t="s">
        <v>70</v>
      </c>
      <c r="I142" s="17"/>
      <c r="J142" s="17"/>
      <c r="K142" s="17"/>
      <c r="L142" s="14"/>
    </row>
    <row r="143" spans="1:12" ht="21.75" customHeight="1" x14ac:dyDescent="0.15">
      <c r="A143" s="14"/>
      <c r="B143" s="16"/>
      <c r="C143" s="17"/>
      <c r="D143" s="17"/>
      <c r="E143" s="17"/>
      <c r="F143" s="17"/>
      <c r="G143" s="17"/>
      <c r="H143" s="18" t="s">
        <v>70</v>
      </c>
      <c r="I143" s="17"/>
      <c r="J143" s="17"/>
      <c r="K143" s="17"/>
      <c r="L143" s="14"/>
    </row>
    <row r="144" spans="1:12" ht="21.75" customHeight="1" x14ac:dyDescent="0.15">
      <c r="A144" s="14"/>
      <c r="B144" s="16"/>
      <c r="C144" s="17"/>
      <c r="D144" s="17"/>
      <c r="E144" s="17"/>
      <c r="F144" s="17"/>
      <c r="G144" s="17"/>
      <c r="H144" s="18" t="s">
        <v>70</v>
      </c>
      <c r="I144" s="17"/>
      <c r="J144" s="17"/>
      <c r="K144" s="17"/>
      <c r="L144" s="14"/>
    </row>
    <row r="145" spans="1:12" ht="21.75" customHeight="1" x14ac:dyDescent="0.15">
      <c r="A145" s="14"/>
      <c r="B145" s="16"/>
      <c r="C145" s="17"/>
      <c r="D145" s="17"/>
      <c r="E145" s="17"/>
      <c r="F145" s="17"/>
      <c r="G145" s="17"/>
      <c r="H145" s="18" t="s">
        <v>70</v>
      </c>
      <c r="I145" s="17"/>
      <c r="J145" s="17"/>
      <c r="K145" s="17"/>
      <c r="L145" s="14"/>
    </row>
    <row r="146" spans="1:12" ht="21.75" customHeight="1" x14ac:dyDescent="0.15">
      <c r="A146" s="14"/>
      <c r="B146" s="16"/>
      <c r="C146" s="17"/>
      <c r="D146" s="17"/>
      <c r="E146" s="17"/>
      <c r="F146" s="17"/>
      <c r="G146" s="17"/>
      <c r="H146" s="18" t="s">
        <v>70</v>
      </c>
      <c r="I146" s="17"/>
      <c r="J146" s="17"/>
      <c r="K146" s="17"/>
      <c r="L146" s="14"/>
    </row>
    <row r="147" spans="1:12" ht="21.75" customHeight="1" x14ac:dyDescent="0.15">
      <c r="A147" s="14"/>
      <c r="B147" s="16"/>
      <c r="C147" s="17"/>
      <c r="D147" s="17"/>
      <c r="E147" s="17"/>
      <c r="F147" s="17"/>
      <c r="G147" s="17"/>
      <c r="H147" s="18" t="s">
        <v>70</v>
      </c>
      <c r="I147" s="17"/>
      <c r="J147" s="17"/>
      <c r="K147" s="17"/>
      <c r="L147" s="14"/>
    </row>
    <row r="148" spans="1:12" ht="21.75" customHeight="1" x14ac:dyDescent="0.15">
      <c r="A148" s="14"/>
      <c r="B148" s="16"/>
      <c r="C148" s="17"/>
      <c r="D148" s="17"/>
      <c r="E148" s="17"/>
      <c r="F148" s="17"/>
      <c r="G148" s="17"/>
      <c r="H148" s="18" t="s">
        <v>70</v>
      </c>
      <c r="I148" s="17"/>
      <c r="J148" s="17"/>
      <c r="K148" s="17"/>
      <c r="L148" s="14"/>
    </row>
    <row r="149" spans="1:12" ht="21.75" customHeight="1" x14ac:dyDescent="0.15">
      <c r="A149" s="14"/>
      <c r="B149" s="16"/>
      <c r="C149" s="17"/>
      <c r="D149" s="17"/>
      <c r="E149" s="17"/>
      <c r="F149" s="17"/>
      <c r="G149" s="17"/>
      <c r="H149" s="18" t="s">
        <v>70</v>
      </c>
      <c r="I149" s="17"/>
      <c r="J149" s="17"/>
      <c r="K149" s="17"/>
      <c r="L149" s="14"/>
    </row>
    <row r="150" spans="1:12" ht="21.75" customHeight="1" x14ac:dyDescent="0.15">
      <c r="A150" s="14"/>
      <c r="B150" s="16"/>
      <c r="C150" s="17"/>
      <c r="D150" s="17"/>
      <c r="E150" s="17"/>
      <c r="F150" s="17"/>
      <c r="G150" s="17"/>
      <c r="H150" s="18" t="s">
        <v>70</v>
      </c>
      <c r="I150" s="17"/>
      <c r="J150" s="17"/>
      <c r="K150" s="17"/>
      <c r="L150" s="14"/>
    </row>
    <row r="151" spans="1:12" ht="21.75" customHeight="1" x14ac:dyDescent="0.15">
      <c r="A151" s="14"/>
      <c r="B151" s="16"/>
      <c r="C151" s="17"/>
      <c r="D151" s="17"/>
      <c r="E151" s="17"/>
      <c r="F151" s="17"/>
      <c r="G151" s="17"/>
      <c r="H151" s="18" t="s">
        <v>70</v>
      </c>
      <c r="I151" s="17"/>
      <c r="J151" s="17"/>
      <c r="K151" s="17"/>
      <c r="L151" s="14"/>
    </row>
    <row r="152" spans="1:12" ht="21.75" customHeight="1" x14ac:dyDescent="0.15">
      <c r="A152" s="14"/>
      <c r="B152" s="16"/>
      <c r="C152" s="17"/>
      <c r="D152" s="17"/>
      <c r="E152" s="17"/>
      <c r="F152" s="17"/>
      <c r="G152" s="17"/>
      <c r="H152" s="18" t="s">
        <v>70</v>
      </c>
      <c r="I152" s="17"/>
      <c r="J152" s="17"/>
      <c r="K152" s="17"/>
      <c r="L152" s="14"/>
    </row>
    <row r="153" spans="1:12" ht="21.75" customHeight="1" x14ac:dyDescent="0.15">
      <c r="A153" s="14"/>
      <c r="B153" s="16"/>
      <c r="C153" s="17"/>
      <c r="D153" s="17"/>
      <c r="E153" s="17"/>
      <c r="F153" s="17"/>
      <c r="G153" s="17"/>
      <c r="H153" s="18" t="s">
        <v>70</v>
      </c>
      <c r="I153" s="17"/>
      <c r="J153" s="17"/>
      <c r="K153" s="17"/>
      <c r="L153" s="14"/>
    </row>
    <row r="154" spans="1:12" ht="21.75" customHeight="1" x14ac:dyDescent="0.15">
      <c r="A154" s="14"/>
      <c r="B154" s="16"/>
      <c r="C154" s="17"/>
      <c r="D154" s="17"/>
      <c r="E154" s="17"/>
      <c r="F154" s="17"/>
      <c r="G154" s="17"/>
      <c r="H154" s="18" t="s">
        <v>70</v>
      </c>
      <c r="I154" s="17"/>
      <c r="J154" s="17"/>
      <c r="K154" s="17"/>
      <c r="L154" s="14"/>
    </row>
    <row r="155" spans="1:12" ht="21.75" customHeight="1" x14ac:dyDescent="0.15">
      <c r="A155" s="14"/>
      <c r="B155" s="16"/>
      <c r="C155" s="17"/>
      <c r="D155" s="17"/>
      <c r="E155" s="17"/>
      <c r="F155" s="17"/>
      <c r="G155" s="17"/>
      <c r="H155" s="18" t="s">
        <v>70</v>
      </c>
      <c r="I155" s="17"/>
      <c r="J155" s="17"/>
      <c r="K155" s="17"/>
      <c r="L155" s="14"/>
    </row>
    <row r="156" spans="1:12" ht="21.75" customHeight="1" x14ac:dyDescent="0.15">
      <c r="A156" s="14"/>
      <c r="B156" s="16"/>
      <c r="C156" s="17"/>
      <c r="D156" s="17"/>
      <c r="E156" s="17"/>
      <c r="F156" s="17"/>
      <c r="G156" s="17"/>
      <c r="H156" s="18" t="s">
        <v>70</v>
      </c>
      <c r="I156" s="17"/>
      <c r="J156" s="17"/>
      <c r="K156" s="17"/>
      <c r="L156" s="14"/>
    </row>
    <row r="157" spans="1:12" ht="21.75" customHeight="1" x14ac:dyDescent="0.15">
      <c r="A157" s="14"/>
      <c r="B157" s="16"/>
      <c r="C157" s="17"/>
      <c r="D157" s="17"/>
      <c r="E157" s="17"/>
      <c r="F157" s="17"/>
      <c r="G157" s="17"/>
      <c r="H157" s="18" t="s">
        <v>70</v>
      </c>
      <c r="I157" s="17"/>
      <c r="J157" s="17"/>
      <c r="K157" s="17"/>
      <c r="L157" s="14"/>
    </row>
    <row r="158" spans="1:12" ht="21.75" customHeight="1" x14ac:dyDescent="0.15">
      <c r="A158" s="14"/>
      <c r="B158" s="16"/>
      <c r="C158" s="17"/>
      <c r="D158" s="17"/>
      <c r="E158" s="17"/>
      <c r="F158" s="17"/>
      <c r="G158" s="17"/>
      <c r="H158" s="18" t="s">
        <v>70</v>
      </c>
      <c r="I158" s="17"/>
      <c r="J158" s="17"/>
      <c r="K158" s="17"/>
      <c r="L158" s="14"/>
    </row>
    <row r="159" spans="1:12" ht="21.75" customHeight="1" x14ac:dyDescent="0.15">
      <c r="A159" s="14"/>
      <c r="B159" s="16"/>
      <c r="C159" s="17"/>
      <c r="D159" s="17"/>
      <c r="E159" s="17"/>
      <c r="F159" s="17"/>
      <c r="G159" s="17"/>
      <c r="H159" s="18" t="s">
        <v>70</v>
      </c>
      <c r="I159" s="17"/>
      <c r="J159" s="17"/>
      <c r="K159" s="17"/>
      <c r="L159" s="14"/>
    </row>
    <row r="160" spans="1:12" ht="21.75" customHeight="1" x14ac:dyDescent="0.15">
      <c r="A160" s="14"/>
      <c r="B160" s="16"/>
      <c r="C160" s="17"/>
      <c r="D160" s="17"/>
      <c r="E160" s="17"/>
      <c r="F160" s="17"/>
      <c r="G160" s="17"/>
      <c r="H160" s="18" t="s">
        <v>70</v>
      </c>
      <c r="I160" s="17"/>
      <c r="J160" s="17"/>
      <c r="K160" s="17"/>
      <c r="L160" s="14"/>
    </row>
    <row r="161" spans="1:12" ht="21.75" customHeight="1" x14ac:dyDescent="0.15">
      <c r="A161" s="14"/>
      <c r="B161" s="16"/>
      <c r="C161" s="17"/>
      <c r="D161" s="17"/>
      <c r="E161" s="17"/>
      <c r="F161" s="17"/>
      <c r="G161" s="17"/>
      <c r="H161" s="18" t="s">
        <v>70</v>
      </c>
      <c r="I161" s="17"/>
      <c r="J161" s="17"/>
      <c r="K161" s="17"/>
      <c r="L161" s="14"/>
    </row>
    <row r="162" spans="1:12" ht="21.75" customHeight="1" x14ac:dyDescent="0.15">
      <c r="A162" s="14"/>
      <c r="B162" s="16"/>
      <c r="C162" s="17"/>
      <c r="D162" s="17"/>
      <c r="E162" s="17"/>
      <c r="F162" s="17"/>
      <c r="G162" s="17"/>
      <c r="H162" s="18" t="s">
        <v>70</v>
      </c>
      <c r="I162" s="17"/>
      <c r="J162" s="17"/>
      <c r="K162" s="17"/>
      <c r="L162" s="14"/>
    </row>
    <row r="163" spans="1:12" ht="21.75" customHeight="1" x14ac:dyDescent="0.15">
      <c r="A163" s="14"/>
      <c r="B163" s="16"/>
      <c r="C163" s="17"/>
      <c r="D163" s="17"/>
      <c r="E163" s="17"/>
      <c r="F163" s="17"/>
      <c r="G163" s="17"/>
      <c r="H163" s="18" t="s">
        <v>70</v>
      </c>
      <c r="I163" s="17"/>
      <c r="J163" s="17"/>
      <c r="K163" s="17"/>
      <c r="L163" s="14"/>
    </row>
    <row r="164" spans="1:12" ht="21.75" customHeight="1" x14ac:dyDescent="0.15">
      <c r="A164" s="14"/>
      <c r="B164" s="16"/>
      <c r="C164" s="17"/>
      <c r="D164" s="17"/>
      <c r="E164" s="17"/>
      <c r="F164" s="17"/>
      <c r="G164" s="17"/>
      <c r="H164" s="18" t="s">
        <v>70</v>
      </c>
      <c r="I164" s="17"/>
      <c r="J164" s="17"/>
      <c r="K164" s="17"/>
      <c r="L164" s="14"/>
    </row>
    <row r="165" spans="1:12" ht="21.75" customHeight="1" x14ac:dyDescent="0.15">
      <c r="A165" s="14"/>
      <c r="B165" s="16"/>
      <c r="C165" s="17"/>
      <c r="D165" s="17"/>
      <c r="E165" s="17"/>
      <c r="F165" s="17"/>
      <c r="G165" s="17"/>
      <c r="H165" s="18" t="s">
        <v>70</v>
      </c>
      <c r="I165" s="17"/>
      <c r="J165" s="17"/>
      <c r="K165" s="17"/>
      <c r="L165" s="14"/>
    </row>
    <row r="166" spans="1:12" ht="21.75" customHeight="1" x14ac:dyDescent="0.15">
      <c r="A166" s="14"/>
      <c r="B166" s="16"/>
      <c r="C166" s="17"/>
      <c r="D166" s="17"/>
      <c r="E166" s="17"/>
      <c r="F166" s="17"/>
      <c r="G166" s="17"/>
      <c r="H166" s="18" t="s">
        <v>70</v>
      </c>
      <c r="I166" s="17"/>
      <c r="J166" s="17"/>
      <c r="K166" s="17"/>
      <c r="L166" s="14"/>
    </row>
    <row r="167" spans="1:12" ht="21.75" customHeight="1" x14ac:dyDescent="0.15">
      <c r="A167" s="14"/>
      <c r="B167" s="16"/>
      <c r="C167" s="17"/>
      <c r="D167" s="17"/>
      <c r="E167" s="17"/>
      <c r="F167" s="17"/>
      <c r="G167" s="17"/>
      <c r="H167" s="18" t="s">
        <v>70</v>
      </c>
      <c r="I167" s="17"/>
      <c r="J167" s="17"/>
      <c r="K167" s="17"/>
      <c r="L167" s="14"/>
    </row>
    <row r="168" spans="1:12" ht="21.75" customHeight="1" x14ac:dyDescent="0.15">
      <c r="A168" s="14"/>
      <c r="B168" s="16"/>
      <c r="C168" s="17"/>
      <c r="D168" s="17"/>
      <c r="E168" s="17"/>
      <c r="F168" s="17"/>
      <c r="G168" s="17"/>
      <c r="H168" s="18" t="s">
        <v>70</v>
      </c>
      <c r="I168" s="17"/>
      <c r="J168" s="17"/>
      <c r="K168" s="17"/>
      <c r="L168" s="14"/>
    </row>
    <row r="169" spans="1:12" ht="21.75" customHeight="1" x14ac:dyDescent="0.15">
      <c r="A169" s="14"/>
      <c r="B169" s="16"/>
      <c r="C169" s="17"/>
      <c r="D169" s="17"/>
      <c r="E169" s="17"/>
      <c r="F169" s="17"/>
      <c r="G169" s="17"/>
      <c r="H169" s="18" t="s">
        <v>70</v>
      </c>
      <c r="I169" s="17"/>
      <c r="J169" s="17"/>
      <c r="K169" s="17"/>
      <c r="L169" s="14"/>
    </row>
    <row r="170" spans="1:12" ht="21.75" customHeight="1" x14ac:dyDescent="0.15">
      <c r="A170" s="14"/>
      <c r="B170" s="16"/>
      <c r="C170" s="17"/>
      <c r="D170" s="17"/>
      <c r="E170" s="17"/>
      <c r="F170" s="17"/>
      <c r="G170" s="17"/>
      <c r="H170" s="18" t="s">
        <v>70</v>
      </c>
      <c r="I170" s="17"/>
      <c r="J170" s="17"/>
      <c r="K170" s="17"/>
      <c r="L170" s="14"/>
    </row>
    <row r="171" spans="1:12" ht="21.75" customHeight="1" x14ac:dyDescent="0.15">
      <c r="A171" s="14"/>
      <c r="B171" s="16"/>
      <c r="C171" s="17"/>
      <c r="D171" s="17"/>
      <c r="E171" s="17"/>
      <c r="F171" s="17"/>
      <c r="G171" s="17"/>
      <c r="H171" s="18" t="s">
        <v>70</v>
      </c>
      <c r="I171" s="17"/>
      <c r="J171" s="17"/>
      <c r="K171" s="17"/>
      <c r="L171" s="14"/>
    </row>
    <row r="172" spans="1:12" ht="21.75" customHeight="1" x14ac:dyDescent="0.15">
      <c r="A172" s="14"/>
      <c r="B172" s="16"/>
      <c r="C172" s="17"/>
      <c r="D172" s="17"/>
      <c r="E172" s="17"/>
      <c r="F172" s="17"/>
      <c r="G172" s="17"/>
      <c r="H172" s="18" t="s">
        <v>70</v>
      </c>
      <c r="I172" s="17"/>
      <c r="J172" s="17"/>
      <c r="K172" s="17"/>
      <c r="L172" s="14"/>
    </row>
    <row r="173" spans="1:12" ht="21.75" customHeight="1" x14ac:dyDescent="0.15">
      <c r="A173" s="14"/>
      <c r="B173" s="16"/>
      <c r="C173" s="17"/>
      <c r="D173" s="17"/>
      <c r="E173" s="17"/>
      <c r="F173" s="17"/>
      <c r="G173" s="17"/>
      <c r="H173" s="18" t="s">
        <v>70</v>
      </c>
      <c r="I173" s="17"/>
      <c r="J173" s="17"/>
      <c r="K173" s="17"/>
      <c r="L173" s="14"/>
    </row>
    <row r="174" spans="1:12" ht="21.75" customHeight="1" x14ac:dyDescent="0.15">
      <c r="A174" s="14"/>
      <c r="B174" s="16"/>
      <c r="C174" s="17"/>
      <c r="D174" s="17"/>
      <c r="E174" s="17"/>
      <c r="F174" s="17"/>
      <c r="G174" s="17"/>
      <c r="H174" s="18" t="s">
        <v>70</v>
      </c>
      <c r="I174" s="17"/>
      <c r="J174" s="17"/>
      <c r="K174" s="17"/>
      <c r="L174" s="14"/>
    </row>
    <row r="175" spans="1:12" ht="21.75" customHeight="1" x14ac:dyDescent="0.15">
      <c r="A175" s="14"/>
      <c r="B175" s="16"/>
      <c r="C175" s="17"/>
      <c r="D175" s="17"/>
      <c r="E175" s="17"/>
      <c r="F175" s="17"/>
      <c r="G175" s="17"/>
      <c r="H175" s="18" t="s">
        <v>70</v>
      </c>
      <c r="I175" s="17"/>
      <c r="J175" s="17"/>
      <c r="K175" s="17"/>
      <c r="L175" s="14"/>
    </row>
    <row r="176" spans="1:12" ht="21.75" customHeight="1" x14ac:dyDescent="0.15">
      <c r="A176" s="14"/>
      <c r="B176" s="16"/>
      <c r="C176" s="17"/>
      <c r="D176" s="17"/>
      <c r="E176" s="17"/>
      <c r="F176" s="17"/>
      <c r="G176" s="17"/>
      <c r="H176" s="18" t="s">
        <v>70</v>
      </c>
      <c r="I176" s="17"/>
      <c r="J176" s="17"/>
      <c r="K176" s="17"/>
      <c r="L176" s="14"/>
    </row>
    <row r="177" spans="1:12" ht="21.75" customHeight="1" x14ac:dyDescent="0.15">
      <c r="A177" s="14"/>
      <c r="B177" s="16"/>
      <c r="C177" s="17"/>
      <c r="D177" s="17"/>
      <c r="E177" s="17"/>
      <c r="F177" s="17"/>
      <c r="G177" s="17"/>
      <c r="H177" s="18" t="s">
        <v>70</v>
      </c>
      <c r="I177" s="17"/>
      <c r="J177" s="17"/>
      <c r="K177" s="17"/>
      <c r="L177" s="14"/>
    </row>
    <row r="178" spans="1:12" ht="21.75" customHeight="1" x14ac:dyDescent="0.15">
      <c r="A178" s="14"/>
      <c r="B178" s="16"/>
      <c r="C178" s="17"/>
      <c r="D178" s="17"/>
      <c r="E178" s="17"/>
      <c r="F178" s="17"/>
      <c r="G178" s="17"/>
      <c r="H178" s="18" t="s">
        <v>70</v>
      </c>
      <c r="I178" s="17"/>
      <c r="J178" s="17"/>
      <c r="K178" s="17"/>
      <c r="L178" s="14"/>
    </row>
    <row r="179" spans="1:12" ht="21.75" customHeight="1" x14ac:dyDescent="0.15">
      <c r="A179" s="14"/>
      <c r="B179" s="16"/>
      <c r="C179" s="17"/>
      <c r="D179" s="17"/>
      <c r="E179" s="17"/>
      <c r="F179" s="17"/>
      <c r="G179" s="17"/>
      <c r="H179" s="18" t="s">
        <v>70</v>
      </c>
      <c r="I179" s="17"/>
      <c r="J179" s="17"/>
      <c r="K179" s="17"/>
      <c r="L179" s="14"/>
    </row>
    <row r="180" spans="1:12" ht="21.75" customHeight="1" x14ac:dyDescent="0.15">
      <c r="A180" s="14"/>
      <c r="B180" s="16"/>
      <c r="C180" s="17"/>
      <c r="D180" s="17"/>
      <c r="E180" s="17"/>
      <c r="F180" s="17"/>
      <c r="G180" s="17"/>
      <c r="H180" s="18" t="s">
        <v>70</v>
      </c>
      <c r="I180" s="17"/>
      <c r="J180" s="17"/>
      <c r="K180" s="17"/>
      <c r="L180" s="14"/>
    </row>
    <row r="181" spans="1:12" ht="21.75" customHeight="1" x14ac:dyDescent="0.15">
      <c r="A181" s="14"/>
      <c r="B181" s="16"/>
      <c r="C181" s="17"/>
      <c r="D181" s="17"/>
      <c r="E181" s="17"/>
      <c r="F181" s="17"/>
      <c r="G181" s="17"/>
      <c r="H181" s="18" t="s">
        <v>70</v>
      </c>
      <c r="I181" s="17"/>
      <c r="J181" s="17"/>
      <c r="K181" s="17"/>
      <c r="L181" s="14"/>
    </row>
    <row r="182" spans="1:12" ht="21.75" customHeight="1" x14ac:dyDescent="0.15">
      <c r="A182" s="14"/>
      <c r="B182" s="16"/>
      <c r="C182" s="17"/>
      <c r="D182" s="17"/>
      <c r="E182" s="17"/>
      <c r="F182" s="17"/>
      <c r="G182" s="17"/>
      <c r="H182" s="18" t="s">
        <v>70</v>
      </c>
      <c r="I182" s="17"/>
      <c r="J182" s="17"/>
      <c r="K182" s="17"/>
      <c r="L182" s="14"/>
    </row>
    <row r="183" spans="1:12" ht="21.75" customHeight="1" x14ac:dyDescent="0.15">
      <c r="A183" s="14"/>
      <c r="B183" s="16"/>
      <c r="C183" s="17"/>
      <c r="D183" s="17"/>
      <c r="E183" s="17"/>
      <c r="F183" s="17"/>
      <c r="G183" s="17"/>
      <c r="H183" s="18" t="s">
        <v>70</v>
      </c>
      <c r="I183" s="17"/>
      <c r="J183" s="17"/>
      <c r="K183" s="17"/>
      <c r="L183" s="14"/>
    </row>
    <row r="184" spans="1:12" ht="21.75" customHeight="1" x14ac:dyDescent="0.15">
      <c r="A184" s="14"/>
      <c r="B184" s="16"/>
      <c r="C184" s="17"/>
      <c r="D184" s="17"/>
      <c r="E184" s="17"/>
      <c r="F184" s="17"/>
      <c r="G184" s="17"/>
      <c r="H184" s="18" t="s">
        <v>70</v>
      </c>
      <c r="I184" s="17"/>
      <c r="J184" s="17"/>
      <c r="K184" s="17"/>
      <c r="L184" s="14"/>
    </row>
    <row r="185" spans="1:12" ht="21.75" customHeight="1" x14ac:dyDescent="0.15">
      <c r="A185" s="14"/>
      <c r="B185" s="16"/>
      <c r="C185" s="17"/>
      <c r="D185" s="17"/>
      <c r="E185" s="17"/>
      <c r="F185" s="17"/>
      <c r="G185" s="17"/>
      <c r="H185" s="18" t="s">
        <v>70</v>
      </c>
      <c r="I185" s="17"/>
      <c r="J185" s="17"/>
      <c r="K185" s="17"/>
      <c r="L185" s="14"/>
    </row>
    <row r="186" spans="1:12" ht="21.75" customHeight="1" x14ac:dyDescent="0.15">
      <c r="A186" s="14"/>
      <c r="B186" s="16"/>
      <c r="C186" s="17"/>
      <c r="D186" s="17"/>
      <c r="E186" s="17"/>
      <c r="F186" s="17"/>
      <c r="G186" s="17"/>
      <c r="H186" s="18" t="s">
        <v>70</v>
      </c>
      <c r="I186" s="17"/>
      <c r="J186" s="17"/>
      <c r="K186" s="17"/>
      <c r="L186" s="14"/>
    </row>
    <row r="187" spans="1:12" ht="21.75" customHeight="1" x14ac:dyDescent="0.15">
      <c r="A187" s="14"/>
      <c r="B187" s="16"/>
      <c r="C187" s="17"/>
      <c r="D187" s="17"/>
      <c r="E187" s="17"/>
      <c r="F187" s="17"/>
      <c r="G187" s="17"/>
      <c r="H187" s="18" t="s">
        <v>70</v>
      </c>
      <c r="I187" s="17"/>
      <c r="J187" s="17"/>
      <c r="K187" s="17"/>
      <c r="L187" s="14"/>
    </row>
    <row r="188" spans="1:12" ht="21.75" customHeight="1" x14ac:dyDescent="0.15">
      <c r="A188" s="14"/>
      <c r="B188" s="16"/>
      <c r="C188" s="17"/>
      <c r="D188" s="17"/>
      <c r="E188" s="17"/>
      <c r="F188" s="17"/>
      <c r="G188" s="17"/>
      <c r="H188" s="18" t="s">
        <v>70</v>
      </c>
      <c r="I188" s="17"/>
      <c r="J188" s="17"/>
      <c r="K188" s="17"/>
      <c r="L188" s="14"/>
    </row>
    <row r="189" spans="1:12" ht="21.75" customHeight="1" x14ac:dyDescent="0.15">
      <c r="A189" s="14"/>
      <c r="B189" s="16"/>
      <c r="C189" s="17"/>
      <c r="D189" s="17"/>
      <c r="E189" s="17"/>
      <c r="F189" s="17"/>
      <c r="G189" s="17"/>
      <c r="H189" s="18" t="s">
        <v>70</v>
      </c>
      <c r="I189" s="17"/>
      <c r="J189" s="17"/>
      <c r="K189" s="17"/>
      <c r="L189" s="14"/>
    </row>
    <row r="190" spans="1:12" ht="21.75" customHeight="1" x14ac:dyDescent="0.15">
      <c r="A190" s="14"/>
      <c r="B190" s="16"/>
      <c r="C190" s="17"/>
      <c r="D190" s="17"/>
      <c r="E190" s="17"/>
      <c r="F190" s="17"/>
      <c r="G190" s="17"/>
      <c r="H190" s="18" t="s">
        <v>70</v>
      </c>
      <c r="I190" s="17"/>
      <c r="J190" s="17"/>
      <c r="K190" s="17"/>
      <c r="L190" s="14"/>
    </row>
    <row r="191" spans="1:12" ht="21.75" customHeight="1" x14ac:dyDescent="0.15">
      <c r="A191" s="14"/>
      <c r="B191" s="16"/>
      <c r="C191" s="17"/>
      <c r="D191" s="17"/>
      <c r="E191" s="17"/>
      <c r="F191" s="17"/>
      <c r="G191" s="17"/>
      <c r="H191" s="18" t="s">
        <v>70</v>
      </c>
      <c r="I191" s="17"/>
      <c r="J191" s="17"/>
      <c r="K191" s="17"/>
      <c r="L191" s="14"/>
    </row>
    <row r="192" spans="1:12" ht="21.75" customHeight="1" x14ac:dyDescent="0.15">
      <c r="A192" s="14"/>
      <c r="B192" s="16"/>
      <c r="C192" s="17"/>
      <c r="D192" s="17"/>
      <c r="E192" s="17"/>
      <c r="F192" s="17"/>
      <c r="G192" s="17"/>
      <c r="H192" s="18" t="s">
        <v>70</v>
      </c>
      <c r="I192" s="17"/>
      <c r="J192" s="17"/>
      <c r="K192" s="17"/>
      <c r="L192" s="14"/>
    </row>
    <row r="193" spans="1:12" ht="21.75" customHeight="1" x14ac:dyDescent="0.15">
      <c r="A193" s="14"/>
      <c r="B193" s="16"/>
      <c r="C193" s="17"/>
      <c r="D193" s="17"/>
      <c r="E193" s="17"/>
      <c r="F193" s="17"/>
      <c r="G193" s="17"/>
      <c r="H193" s="18" t="s">
        <v>70</v>
      </c>
      <c r="I193" s="17"/>
      <c r="J193" s="17"/>
      <c r="K193" s="17"/>
      <c r="L193" s="14"/>
    </row>
    <row r="194" spans="1:12" ht="21.75" customHeight="1" x14ac:dyDescent="0.15">
      <c r="A194" s="14"/>
      <c r="B194" s="16"/>
      <c r="C194" s="17"/>
      <c r="D194" s="17"/>
      <c r="E194" s="17"/>
      <c r="F194" s="17"/>
      <c r="G194" s="17"/>
      <c r="H194" s="18" t="s">
        <v>70</v>
      </c>
      <c r="I194" s="17"/>
      <c r="J194" s="17"/>
      <c r="K194" s="17"/>
      <c r="L194" s="14"/>
    </row>
    <row r="195" spans="1:12" ht="21.75" customHeight="1" x14ac:dyDescent="0.15">
      <c r="A195" s="14"/>
      <c r="B195" s="16"/>
      <c r="C195" s="17"/>
      <c r="D195" s="17"/>
      <c r="E195" s="17"/>
      <c r="F195" s="17"/>
      <c r="G195" s="17"/>
      <c r="H195" s="18" t="s">
        <v>70</v>
      </c>
      <c r="I195" s="17"/>
      <c r="J195" s="17"/>
      <c r="K195" s="17"/>
      <c r="L195" s="14"/>
    </row>
    <row r="196" spans="1:12" ht="21.75" customHeight="1" x14ac:dyDescent="0.15">
      <c r="A196" s="14"/>
      <c r="B196" s="16"/>
      <c r="C196" s="17"/>
      <c r="D196" s="17"/>
      <c r="E196" s="17"/>
      <c r="F196" s="17"/>
      <c r="G196" s="17"/>
      <c r="H196" s="18" t="s">
        <v>70</v>
      </c>
      <c r="I196" s="17"/>
      <c r="J196" s="17"/>
      <c r="K196" s="17"/>
      <c r="L196" s="14"/>
    </row>
    <row r="197" spans="1:12" ht="21.75" customHeight="1" x14ac:dyDescent="0.15">
      <c r="A197" s="14"/>
      <c r="B197" s="16"/>
      <c r="C197" s="17"/>
      <c r="D197" s="17"/>
      <c r="E197" s="17"/>
      <c r="F197" s="17"/>
      <c r="G197" s="17"/>
      <c r="H197" s="18" t="s">
        <v>70</v>
      </c>
      <c r="I197" s="17"/>
      <c r="J197" s="17"/>
      <c r="K197" s="17"/>
      <c r="L197" s="14"/>
    </row>
    <row r="198" spans="1:12" ht="21.75" customHeight="1" x14ac:dyDescent="0.15">
      <c r="A198" s="14"/>
      <c r="B198" s="16"/>
      <c r="C198" s="17"/>
      <c r="D198" s="17"/>
      <c r="E198" s="17"/>
      <c r="F198" s="17"/>
      <c r="G198" s="17"/>
      <c r="H198" s="18" t="s">
        <v>70</v>
      </c>
      <c r="I198" s="17"/>
      <c r="J198" s="17"/>
      <c r="K198" s="17"/>
      <c r="L198" s="14"/>
    </row>
    <row r="199" spans="1:12" ht="21.75" customHeight="1" x14ac:dyDescent="0.15">
      <c r="A199" s="14"/>
      <c r="B199" s="16"/>
      <c r="C199" s="17"/>
      <c r="D199" s="17"/>
      <c r="E199" s="17"/>
      <c r="F199" s="17"/>
      <c r="G199" s="17"/>
      <c r="H199" s="18" t="s">
        <v>70</v>
      </c>
      <c r="I199" s="17"/>
      <c r="J199" s="17"/>
      <c r="K199" s="17"/>
      <c r="L199" s="14"/>
    </row>
    <row r="200" spans="1:12" ht="21.75" customHeight="1" x14ac:dyDescent="0.15">
      <c r="A200" s="14"/>
      <c r="B200" s="16"/>
      <c r="C200" s="17"/>
      <c r="D200" s="17"/>
      <c r="E200" s="17"/>
      <c r="F200" s="17"/>
      <c r="G200" s="17"/>
      <c r="H200" s="18" t="s">
        <v>70</v>
      </c>
      <c r="I200" s="17"/>
      <c r="J200" s="17"/>
      <c r="K200" s="17"/>
      <c r="L200" s="14"/>
    </row>
    <row r="201" spans="1:12" ht="21.75" customHeight="1" x14ac:dyDescent="0.15">
      <c r="A201" s="14"/>
      <c r="B201" s="16"/>
      <c r="C201" s="17"/>
      <c r="D201" s="17"/>
      <c r="E201" s="17"/>
      <c r="F201" s="17"/>
      <c r="G201" s="17"/>
      <c r="H201" s="18" t="s">
        <v>70</v>
      </c>
      <c r="I201" s="17"/>
      <c r="J201" s="17"/>
      <c r="K201" s="17"/>
      <c r="L201" s="14"/>
    </row>
    <row r="202" spans="1:12" ht="21.75" customHeight="1" x14ac:dyDescent="0.15">
      <c r="A202" s="14"/>
      <c r="B202" s="16"/>
      <c r="C202" s="17"/>
      <c r="D202" s="17"/>
      <c r="E202" s="17"/>
      <c r="F202" s="17"/>
      <c r="G202" s="17"/>
      <c r="H202" s="18" t="s">
        <v>70</v>
      </c>
      <c r="I202" s="17"/>
      <c r="J202" s="17"/>
      <c r="K202" s="17"/>
      <c r="L202" s="14"/>
    </row>
    <row r="203" spans="1:12" ht="21.75" customHeight="1" x14ac:dyDescent="0.15">
      <c r="A203" s="14"/>
      <c r="B203" s="16"/>
      <c r="C203" s="17"/>
      <c r="D203" s="17"/>
      <c r="E203" s="17"/>
      <c r="F203" s="17"/>
      <c r="G203" s="17"/>
      <c r="H203" s="18" t="s">
        <v>70</v>
      </c>
      <c r="I203" s="17"/>
      <c r="J203" s="17"/>
      <c r="K203" s="17"/>
      <c r="L203" s="14"/>
    </row>
    <row r="204" spans="1:12" ht="21.75" customHeight="1" x14ac:dyDescent="0.15">
      <c r="A204" s="14"/>
      <c r="B204" s="16"/>
      <c r="C204" s="17"/>
      <c r="D204" s="17"/>
      <c r="E204" s="17"/>
      <c r="F204" s="17"/>
      <c r="G204" s="17"/>
      <c r="H204" s="18" t="s">
        <v>70</v>
      </c>
      <c r="I204" s="17"/>
      <c r="J204" s="17"/>
      <c r="K204" s="17"/>
      <c r="L204" s="14"/>
    </row>
    <row r="205" spans="1:12" ht="21.75" customHeight="1" x14ac:dyDescent="0.15">
      <c r="A205" s="14"/>
      <c r="B205" s="16"/>
      <c r="C205" s="17"/>
      <c r="D205" s="17"/>
      <c r="E205" s="17"/>
      <c r="F205" s="17"/>
      <c r="G205" s="17"/>
      <c r="H205" s="18" t="s">
        <v>70</v>
      </c>
      <c r="I205" s="17"/>
      <c r="J205" s="17"/>
      <c r="K205" s="17"/>
      <c r="L205" s="14"/>
    </row>
    <row r="206" spans="1:12" ht="21.75" customHeight="1" x14ac:dyDescent="0.15">
      <c r="A206" s="14"/>
      <c r="B206" s="16"/>
      <c r="C206" s="17"/>
      <c r="D206" s="17"/>
      <c r="E206" s="17"/>
      <c r="F206" s="17"/>
      <c r="G206" s="17"/>
      <c r="H206" s="18" t="s">
        <v>70</v>
      </c>
      <c r="I206" s="17"/>
      <c r="J206" s="17"/>
      <c r="K206" s="17"/>
      <c r="L206" s="14"/>
    </row>
    <row r="207" spans="1:12" ht="21.75" customHeight="1" x14ac:dyDescent="0.15">
      <c r="A207" s="14"/>
      <c r="B207" s="16"/>
      <c r="C207" s="17"/>
      <c r="D207" s="17"/>
      <c r="E207" s="17"/>
      <c r="F207" s="17"/>
      <c r="G207" s="17"/>
      <c r="H207" s="18" t="s">
        <v>70</v>
      </c>
      <c r="I207" s="17"/>
      <c r="J207" s="17"/>
      <c r="K207" s="17"/>
      <c r="L207" s="14"/>
    </row>
    <row r="208" spans="1:12" ht="21.75" customHeight="1" x14ac:dyDescent="0.15">
      <c r="A208" s="14"/>
      <c r="B208" s="16"/>
      <c r="C208" s="17"/>
      <c r="D208" s="17"/>
      <c r="E208" s="17"/>
      <c r="F208" s="17"/>
      <c r="G208" s="17"/>
      <c r="H208" s="18" t="s">
        <v>70</v>
      </c>
      <c r="I208" s="17"/>
      <c r="J208" s="17"/>
      <c r="K208" s="17"/>
      <c r="L208" s="14"/>
    </row>
    <row r="209" spans="1:12" ht="21.75" customHeight="1" x14ac:dyDescent="0.15">
      <c r="A209" s="14"/>
      <c r="B209" s="16"/>
      <c r="C209" s="17"/>
      <c r="D209" s="17"/>
      <c r="E209" s="17"/>
      <c r="F209" s="17"/>
      <c r="G209" s="17"/>
      <c r="H209" s="18" t="s">
        <v>70</v>
      </c>
      <c r="I209" s="17"/>
      <c r="J209" s="17"/>
      <c r="K209" s="17"/>
      <c r="L209" s="14"/>
    </row>
    <row r="210" spans="1:12" ht="21.75" customHeight="1" x14ac:dyDescent="0.15">
      <c r="A210" s="14"/>
      <c r="B210" s="16"/>
      <c r="C210" s="17"/>
      <c r="D210" s="17"/>
      <c r="E210" s="17"/>
      <c r="F210" s="17"/>
      <c r="G210" s="17"/>
      <c r="H210" s="18" t="s">
        <v>70</v>
      </c>
      <c r="I210" s="17"/>
      <c r="J210" s="17"/>
      <c r="K210" s="17"/>
      <c r="L210" s="14"/>
    </row>
    <row r="211" spans="1:12" ht="21.75" customHeight="1" x14ac:dyDescent="0.15">
      <c r="A211" s="14"/>
      <c r="B211" s="16"/>
      <c r="C211" s="17"/>
      <c r="D211" s="17"/>
      <c r="E211" s="17"/>
      <c r="F211" s="17"/>
      <c r="G211" s="17"/>
      <c r="H211" s="18" t="s">
        <v>70</v>
      </c>
      <c r="I211" s="17"/>
      <c r="J211" s="17"/>
      <c r="K211" s="17"/>
      <c r="L211" s="14"/>
    </row>
    <row r="212" spans="1:12" ht="21.75" customHeight="1" x14ac:dyDescent="0.15">
      <c r="A212" s="14"/>
      <c r="B212" s="16"/>
      <c r="C212" s="17"/>
      <c r="D212" s="17"/>
      <c r="E212" s="17"/>
      <c r="F212" s="17"/>
      <c r="G212" s="17"/>
      <c r="H212" s="18" t="s">
        <v>70</v>
      </c>
      <c r="I212" s="17"/>
      <c r="J212" s="17"/>
      <c r="K212" s="17"/>
      <c r="L212" s="14"/>
    </row>
    <row r="213" spans="1:12" ht="21.75" customHeight="1" x14ac:dyDescent="0.15">
      <c r="A213" s="14"/>
      <c r="B213" s="16"/>
      <c r="C213" s="17"/>
      <c r="D213" s="17"/>
      <c r="E213" s="17"/>
      <c r="F213" s="17"/>
      <c r="G213" s="17"/>
      <c r="H213" s="18" t="s">
        <v>70</v>
      </c>
      <c r="I213" s="17"/>
      <c r="J213" s="17"/>
      <c r="K213" s="17"/>
      <c r="L213" s="14"/>
    </row>
    <row r="214" spans="1:12" ht="21.75" customHeight="1" x14ac:dyDescent="0.15">
      <c r="A214" s="14"/>
      <c r="B214" s="16"/>
      <c r="C214" s="17"/>
      <c r="D214" s="17"/>
      <c r="E214" s="17"/>
      <c r="F214" s="17"/>
      <c r="G214" s="17"/>
      <c r="H214" s="18" t="s">
        <v>70</v>
      </c>
      <c r="I214" s="17"/>
      <c r="J214" s="17"/>
      <c r="K214" s="17"/>
      <c r="L214" s="14"/>
    </row>
    <row r="215" spans="1:12" ht="21.75" customHeight="1" x14ac:dyDescent="0.15">
      <c r="A215" s="14"/>
      <c r="B215" s="16"/>
      <c r="C215" s="17"/>
      <c r="D215" s="17"/>
      <c r="E215" s="17"/>
      <c r="F215" s="17"/>
      <c r="G215" s="17"/>
      <c r="H215" s="18" t="s">
        <v>70</v>
      </c>
      <c r="I215" s="17"/>
      <c r="J215" s="17"/>
      <c r="K215" s="17"/>
      <c r="L215" s="14"/>
    </row>
    <row r="216" spans="1:12" ht="21.75" customHeight="1" x14ac:dyDescent="0.15">
      <c r="A216" s="14"/>
      <c r="B216" s="16"/>
      <c r="C216" s="17"/>
      <c r="D216" s="17"/>
      <c r="E216" s="17"/>
      <c r="F216" s="17"/>
      <c r="G216" s="17"/>
      <c r="H216" s="18" t="s">
        <v>70</v>
      </c>
      <c r="I216" s="17"/>
      <c r="J216" s="17"/>
      <c r="K216" s="17"/>
      <c r="L216" s="14"/>
    </row>
    <row r="217" spans="1:12" ht="21.75" customHeight="1" x14ac:dyDescent="0.15">
      <c r="A217" s="14"/>
      <c r="B217" s="16"/>
      <c r="C217" s="17"/>
      <c r="D217" s="17"/>
      <c r="E217" s="17"/>
      <c r="F217" s="17"/>
      <c r="G217" s="17"/>
      <c r="H217" s="18" t="s">
        <v>70</v>
      </c>
      <c r="I217" s="17"/>
      <c r="J217" s="17"/>
      <c r="K217" s="17"/>
      <c r="L217" s="14"/>
    </row>
    <row r="218" spans="1:12" ht="21.75" customHeight="1" x14ac:dyDescent="0.15">
      <c r="A218" s="14"/>
      <c r="B218" s="16"/>
      <c r="C218" s="17"/>
      <c r="D218" s="17"/>
      <c r="E218" s="17"/>
      <c r="F218" s="17"/>
      <c r="G218" s="17"/>
      <c r="H218" s="18" t="s">
        <v>70</v>
      </c>
      <c r="I218" s="17"/>
      <c r="J218" s="17"/>
      <c r="K218" s="17"/>
      <c r="L218" s="14"/>
    </row>
    <row r="219" spans="1:12" ht="21.75" customHeight="1" x14ac:dyDescent="0.15">
      <c r="A219" s="14"/>
      <c r="B219" s="16"/>
      <c r="C219" s="17"/>
      <c r="D219" s="17"/>
      <c r="E219" s="17"/>
      <c r="F219" s="17"/>
      <c r="G219" s="17"/>
      <c r="H219" s="18" t="s">
        <v>70</v>
      </c>
      <c r="I219" s="17"/>
      <c r="J219" s="17"/>
      <c r="K219" s="17"/>
      <c r="L219" s="14"/>
    </row>
    <row r="220" spans="1:12" ht="21.75" customHeight="1" x14ac:dyDescent="0.15">
      <c r="A220" s="14"/>
      <c r="B220" s="16"/>
      <c r="C220" s="17"/>
      <c r="D220" s="17"/>
      <c r="E220" s="17"/>
      <c r="F220" s="17"/>
      <c r="G220" s="17"/>
      <c r="H220" s="18" t="s">
        <v>70</v>
      </c>
      <c r="I220" s="17"/>
      <c r="J220" s="17"/>
      <c r="K220" s="17"/>
      <c r="L220" s="14"/>
    </row>
    <row r="221" spans="1:12" ht="21.75" customHeight="1" x14ac:dyDescent="0.15">
      <c r="A221" s="14"/>
      <c r="B221" s="16"/>
      <c r="C221" s="17"/>
      <c r="D221" s="17"/>
      <c r="E221" s="17"/>
      <c r="F221" s="17"/>
      <c r="G221" s="17"/>
      <c r="H221" s="18" t="s">
        <v>70</v>
      </c>
      <c r="I221" s="17"/>
      <c r="J221" s="17"/>
      <c r="K221" s="17"/>
      <c r="L221" s="14"/>
    </row>
    <row r="222" spans="1:12" ht="21.75" customHeight="1" x14ac:dyDescent="0.15">
      <c r="A222" s="14"/>
      <c r="B222" s="16"/>
      <c r="C222" s="17"/>
      <c r="D222" s="17"/>
      <c r="E222" s="17"/>
      <c r="F222" s="17"/>
      <c r="G222" s="17"/>
      <c r="H222" s="18" t="s">
        <v>70</v>
      </c>
      <c r="I222" s="17"/>
      <c r="J222" s="17"/>
      <c r="K222" s="17"/>
      <c r="L222" s="14"/>
    </row>
    <row r="223" spans="1:12" ht="21.75" customHeight="1" x14ac:dyDescent="0.15">
      <c r="A223" s="14"/>
      <c r="B223" s="16"/>
      <c r="C223" s="17"/>
      <c r="D223" s="17"/>
      <c r="E223" s="17"/>
      <c r="F223" s="17"/>
      <c r="G223" s="17"/>
      <c r="H223" s="18" t="s">
        <v>70</v>
      </c>
      <c r="I223" s="17"/>
      <c r="J223" s="17"/>
      <c r="K223" s="17"/>
      <c r="L223" s="14"/>
    </row>
    <row r="224" spans="1:12" ht="21.75" customHeight="1" x14ac:dyDescent="0.15">
      <c r="A224" s="14"/>
      <c r="B224" s="16"/>
      <c r="C224" s="17"/>
      <c r="D224" s="17"/>
      <c r="E224" s="17"/>
      <c r="F224" s="17"/>
      <c r="G224" s="17"/>
      <c r="H224" s="18" t="s">
        <v>70</v>
      </c>
      <c r="I224" s="17"/>
      <c r="J224" s="17"/>
      <c r="K224" s="17"/>
      <c r="L224" s="14"/>
    </row>
    <row r="225" spans="1:12" ht="21.75" customHeight="1" x14ac:dyDescent="0.15">
      <c r="A225" s="14"/>
      <c r="B225" s="16"/>
      <c r="C225" s="17"/>
      <c r="D225" s="17"/>
      <c r="E225" s="17"/>
      <c r="F225" s="17"/>
      <c r="G225" s="17"/>
      <c r="H225" s="18" t="s">
        <v>70</v>
      </c>
      <c r="I225" s="17"/>
      <c r="J225" s="17"/>
      <c r="K225" s="17"/>
      <c r="L225" s="14"/>
    </row>
    <row r="226" spans="1:12" ht="21.75" customHeight="1" x14ac:dyDescent="0.15">
      <c r="A226" s="14"/>
      <c r="B226" s="16"/>
      <c r="C226" s="17"/>
      <c r="D226" s="17"/>
      <c r="E226" s="17"/>
      <c r="F226" s="17"/>
      <c r="G226" s="17"/>
      <c r="H226" s="18" t="s">
        <v>70</v>
      </c>
      <c r="I226" s="17"/>
      <c r="J226" s="17"/>
      <c r="K226" s="17"/>
      <c r="L226" s="14"/>
    </row>
    <row r="227" spans="1:12" ht="21.75" customHeight="1" x14ac:dyDescent="0.15">
      <c r="A227" s="14"/>
      <c r="B227" s="16"/>
      <c r="C227" s="17"/>
      <c r="D227" s="17"/>
      <c r="E227" s="17"/>
      <c r="F227" s="17"/>
      <c r="G227" s="17"/>
      <c r="H227" s="18" t="s">
        <v>70</v>
      </c>
      <c r="I227" s="17"/>
      <c r="J227" s="17"/>
      <c r="K227" s="17"/>
      <c r="L227" s="14"/>
    </row>
    <row r="228" spans="1:12" ht="21.75" customHeight="1" x14ac:dyDescent="0.15">
      <c r="A228" s="14"/>
      <c r="B228" s="16"/>
      <c r="C228" s="17"/>
      <c r="D228" s="17"/>
      <c r="E228" s="17"/>
      <c r="F228" s="17"/>
      <c r="G228" s="17"/>
      <c r="H228" s="18" t="s">
        <v>70</v>
      </c>
      <c r="I228" s="17"/>
      <c r="J228" s="17"/>
      <c r="K228" s="17"/>
      <c r="L228" s="14"/>
    </row>
    <row r="229" spans="1:12" ht="21.75" customHeight="1" x14ac:dyDescent="0.15">
      <c r="A229" s="14"/>
      <c r="B229" s="16"/>
      <c r="C229" s="17"/>
      <c r="D229" s="17"/>
      <c r="E229" s="17"/>
      <c r="F229" s="17"/>
      <c r="G229" s="17"/>
      <c r="H229" s="18" t="s">
        <v>70</v>
      </c>
      <c r="I229" s="17"/>
      <c r="J229" s="17"/>
      <c r="K229" s="17"/>
      <c r="L229" s="14"/>
    </row>
    <row r="230" spans="1:12" ht="21.75" customHeight="1" x14ac:dyDescent="0.15">
      <c r="A230" s="14"/>
      <c r="B230" s="16"/>
      <c r="C230" s="17"/>
      <c r="D230" s="17"/>
      <c r="E230" s="17"/>
      <c r="F230" s="17"/>
      <c r="G230" s="17"/>
      <c r="H230" s="18" t="s">
        <v>70</v>
      </c>
      <c r="I230" s="17"/>
      <c r="J230" s="17"/>
      <c r="K230" s="17"/>
      <c r="L230" s="14"/>
    </row>
    <row r="231" spans="1:12" ht="21.75" customHeight="1" x14ac:dyDescent="0.15">
      <c r="A231" s="14"/>
      <c r="B231" s="16"/>
      <c r="C231" s="17"/>
      <c r="D231" s="17"/>
      <c r="E231" s="17"/>
      <c r="F231" s="17"/>
      <c r="G231" s="17"/>
      <c r="H231" s="18" t="s">
        <v>70</v>
      </c>
      <c r="I231" s="17"/>
      <c r="J231" s="17"/>
      <c r="K231" s="17"/>
      <c r="L231" s="14"/>
    </row>
    <row r="232" spans="1:12" ht="21.75" customHeight="1" x14ac:dyDescent="0.15">
      <c r="A232" s="14"/>
      <c r="B232" s="16"/>
      <c r="C232" s="17"/>
      <c r="D232" s="17"/>
      <c r="E232" s="17"/>
      <c r="F232" s="17"/>
      <c r="G232" s="17"/>
      <c r="H232" s="18" t="s">
        <v>70</v>
      </c>
      <c r="I232" s="17"/>
      <c r="J232" s="17"/>
      <c r="K232" s="17"/>
      <c r="L232" s="14"/>
    </row>
    <row r="233" spans="1:12" ht="21.75" customHeight="1" x14ac:dyDescent="0.15">
      <c r="A233" s="14"/>
      <c r="B233" s="16"/>
      <c r="C233" s="17"/>
      <c r="D233" s="17"/>
      <c r="E233" s="17"/>
      <c r="F233" s="17"/>
      <c r="G233" s="17"/>
      <c r="H233" s="18" t="s">
        <v>70</v>
      </c>
      <c r="I233" s="17"/>
      <c r="J233" s="17"/>
      <c r="K233" s="17"/>
      <c r="L233" s="14"/>
    </row>
    <row r="234" spans="1:12" ht="21.75" customHeight="1" x14ac:dyDescent="0.15">
      <c r="A234" s="14"/>
      <c r="B234" s="16"/>
      <c r="C234" s="17"/>
      <c r="D234" s="17"/>
      <c r="E234" s="17"/>
      <c r="F234" s="17"/>
      <c r="G234" s="17"/>
      <c r="H234" s="18" t="s">
        <v>70</v>
      </c>
      <c r="I234" s="17"/>
      <c r="J234" s="17"/>
      <c r="K234" s="17"/>
      <c r="L234" s="14"/>
    </row>
    <row r="235" spans="1:12" ht="21.75" customHeight="1" x14ac:dyDescent="0.15">
      <c r="A235" s="14"/>
      <c r="B235" s="16"/>
      <c r="C235" s="17"/>
      <c r="D235" s="17"/>
      <c r="E235" s="17"/>
      <c r="F235" s="17"/>
      <c r="G235" s="17"/>
      <c r="H235" s="18" t="s">
        <v>70</v>
      </c>
      <c r="I235" s="17"/>
      <c r="J235" s="17"/>
      <c r="K235" s="17"/>
      <c r="L235" s="14"/>
    </row>
    <row r="236" spans="1:12" ht="21.75" customHeight="1" x14ac:dyDescent="0.15">
      <c r="A236" s="14"/>
      <c r="B236" s="16"/>
      <c r="C236" s="17"/>
      <c r="D236" s="17"/>
      <c r="E236" s="17"/>
      <c r="F236" s="17"/>
      <c r="G236" s="17"/>
      <c r="H236" s="18" t="s">
        <v>70</v>
      </c>
      <c r="I236" s="17"/>
      <c r="J236" s="17"/>
      <c r="K236" s="17"/>
      <c r="L236" s="14"/>
    </row>
    <row r="237" spans="1:12" ht="21.75" customHeight="1" x14ac:dyDescent="0.15">
      <c r="A237" s="14"/>
      <c r="B237" s="16"/>
      <c r="C237" s="17"/>
      <c r="D237" s="17"/>
      <c r="E237" s="17"/>
      <c r="F237" s="17"/>
      <c r="G237" s="17"/>
      <c r="H237" s="18" t="s">
        <v>70</v>
      </c>
      <c r="I237" s="17"/>
      <c r="J237" s="17"/>
      <c r="K237" s="17"/>
      <c r="L237" s="14"/>
    </row>
    <row r="238" spans="1:12" ht="21.75" customHeight="1" x14ac:dyDescent="0.15">
      <c r="A238" s="14"/>
      <c r="B238" s="16"/>
      <c r="C238" s="17"/>
      <c r="D238" s="17"/>
      <c r="E238" s="17"/>
      <c r="F238" s="17"/>
      <c r="G238" s="17"/>
      <c r="H238" s="18" t="s">
        <v>70</v>
      </c>
      <c r="I238" s="17"/>
      <c r="J238" s="17"/>
      <c r="K238" s="17"/>
      <c r="L238" s="14"/>
    </row>
    <row r="239" spans="1:12" ht="21.75" customHeight="1" x14ac:dyDescent="0.15">
      <c r="A239" s="14"/>
      <c r="B239" s="16"/>
      <c r="C239" s="17"/>
      <c r="D239" s="17"/>
      <c r="E239" s="17"/>
      <c r="F239" s="17"/>
      <c r="G239" s="17"/>
      <c r="H239" s="18" t="s">
        <v>70</v>
      </c>
      <c r="I239" s="17"/>
      <c r="J239" s="17"/>
      <c r="K239" s="17"/>
      <c r="L239" s="14"/>
    </row>
    <row r="240" spans="1:12" ht="21.75" customHeight="1" x14ac:dyDescent="0.15">
      <c r="A240" s="14"/>
      <c r="B240" s="16"/>
      <c r="C240" s="17"/>
      <c r="D240" s="17"/>
      <c r="E240" s="17"/>
      <c r="F240" s="17"/>
      <c r="G240" s="17"/>
      <c r="H240" s="18" t="s">
        <v>70</v>
      </c>
      <c r="I240" s="17"/>
      <c r="J240" s="17"/>
      <c r="K240" s="17"/>
      <c r="L240" s="14"/>
    </row>
    <row r="241" spans="1:12" ht="21.75" customHeight="1" x14ac:dyDescent="0.15">
      <c r="A241" s="14"/>
      <c r="B241" s="16"/>
      <c r="C241" s="17"/>
      <c r="D241" s="17"/>
      <c r="E241" s="17"/>
      <c r="F241" s="17"/>
      <c r="G241" s="17"/>
      <c r="H241" s="18" t="s">
        <v>70</v>
      </c>
      <c r="I241" s="17"/>
      <c r="J241" s="17"/>
      <c r="K241" s="17"/>
      <c r="L241" s="14"/>
    </row>
    <row r="242" spans="1:12" ht="21.75" customHeight="1" x14ac:dyDescent="0.15">
      <c r="A242" s="14"/>
      <c r="B242" s="16"/>
      <c r="C242" s="17"/>
      <c r="D242" s="17"/>
      <c r="E242" s="17"/>
      <c r="F242" s="17"/>
      <c r="G242" s="17"/>
      <c r="H242" s="18" t="s">
        <v>70</v>
      </c>
      <c r="I242" s="17"/>
      <c r="J242" s="17"/>
      <c r="K242" s="17"/>
      <c r="L242" s="14"/>
    </row>
    <row r="243" spans="1:12" ht="21.75" customHeight="1" x14ac:dyDescent="0.15">
      <c r="A243" s="14"/>
      <c r="B243" s="16"/>
      <c r="C243" s="17"/>
      <c r="D243" s="17"/>
      <c r="E243" s="17"/>
      <c r="F243" s="17"/>
      <c r="G243" s="17"/>
      <c r="H243" s="18" t="s">
        <v>70</v>
      </c>
      <c r="I243" s="17"/>
      <c r="J243" s="17"/>
      <c r="K243" s="17"/>
      <c r="L243" s="14"/>
    </row>
    <row r="244" spans="1:12" ht="21.75" customHeight="1" x14ac:dyDescent="0.15">
      <c r="A244" s="14"/>
      <c r="B244" s="16"/>
      <c r="C244" s="17"/>
      <c r="D244" s="17"/>
      <c r="E244" s="17"/>
      <c r="F244" s="17"/>
      <c r="G244" s="17"/>
      <c r="H244" s="18" t="s">
        <v>70</v>
      </c>
      <c r="I244" s="17"/>
      <c r="J244" s="17"/>
      <c r="K244" s="17"/>
      <c r="L244" s="14"/>
    </row>
    <row r="245" spans="1:12" ht="21.75" customHeight="1" x14ac:dyDescent="0.15">
      <c r="A245" s="14"/>
      <c r="B245" s="16"/>
      <c r="C245" s="17"/>
      <c r="D245" s="17"/>
      <c r="E245" s="17"/>
      <c r="F245" s="17"/>
      <c r="G245" s="17"/>
      <c r="H245" s="18" t="s">
        <v>70</v>
      </c>
      <c r="I245" s="17"/>
      <c r="J245" s="17"/>
      <c r="K245" s="17"/>
      <c r="L245" s="14"/>
    </row>
    <row r="246" spans="1:12" ht="21.75" customHeight="1" x14ac:dyDescent="0.15">
      <c r="A246" s="14"/>
      <c r="B246" s="16"/>
      <c r="C246" s="17"/>
      <c r="D246" s="17"/>
      <c r="E246" s="17"/>
      <c r="F246" s="17"/>
      <c r="G246" s="17"/>
      <c r="H246" s="18" t="s">
        <v>70</v>
      </c>
      <c r="I246" s="17"/>
      <c r="J246" s="17"/>
      <c r="K246" s="17"/>
      <c r="L246" s="14"/>
    </row>
    <row r="247" spans="1:12" ht="21.75" customHeight="1" x14ac:dyDescent="0.15">
      <c r="A247" s="14"/>
      <c r="B247" s="16"/>
      <c r="C247" s="17"/>
      <c r="D247" s="17"/>
      <c r="E247" s="17"/>
      <c r="F247" s="17"/>
      <c r="G247" s="17"/>
      <c r="H247" s="18" t="s">
        <v>70</v>
      </c>
      <c r="I247" s="17"/>
      <c r="J247" s="17"/>
      <c r="K247" s="17"/>
      <c r="L247" s="14"/>
    </row>
    <row r="248" spans="1:12" ht="21.75" customHeight="1" x14ac:dyDescent="0.15">
      <c r="A248" s="14"/>
      <c r="B248" s="16"/>
      <c r="C248" s="17"/>
      <c r="D248" s="17"/>
      <c r="E248" s="17"/>
      <c r="F248" s="17"/>
      <c r="G248" s="17"/>
      <c r="H248" s="18" t="s">
        <v>70</v>
      </c>
      <c r="I248" s="17"/>
      <c r="J248" s="17"/>
      <c r="K248" s="17"/>
      <c r="L248" s="14"/>
    </row>
    <row r="249" spans="1:12" ht="21.75" customHeight="1" x14ac:dyDescent="0.15">
      <c r="A249" s="14"/>
      <c r="B249" s="16"/>
      <c r="C249" s="17"/>
      <c r="D249" s="17"/>
      <c r="E249" s="17"/>
      <c r="F249" s="17"/>
      <c r="G249" s="17"/>
      <c r="H249" s="18" t="s">
        <v>70</v>
      </c>
      <c r="I249" s="17"/>
      <c r="J249" s="17"/>
      <c r="K249" s="17"/>
      <c r="L249" s="14"/>
    </row>
    <row r="250" spans="1:12" ht="21.75" customHeight="1" x14ac:dyDescent="0.15">
      <c r="A250" s="14"/>
      <c r="B250" s="16"/>
      <c r="C250" s="17"/>
      <c r="D250" s="17"/>
      <c r="E250" s="17"/>
      <c r="F250" s="17"/>
      <c r="G250" s="17"/>
      <c r="H250" s="18" t="s">
        <v>70</v>
      </c>
      <c r="I250" s="17"/>
      <c r="J250" s="17"/>
      <c r="K250" s="17"/>
      <c r="L250" s="14"/>
    </row>
    <row r="251" spans="1:12" ht="21.75" customHeight="1" x14ac:dyDescent="0.15">
      <c r="A251" s="14"/>
      <c r="B251" s="16"/>
      <c r="C251" s="17"/>
      <c r="D251" s="17"/>
      <c r="E251" s="17"/>
      <c r="F251" s="17"/>
      <c r="G251" s="17"/>
      <c r="H251" s="18" t="s">
        <v>70</v>
      </c>
      <c r="I251" s="17"/>
      <c r="J251" s="17"/>
      <c r="K251" s="17"/>
      <c r="L251" s="14"/>
    </row>
    <row r="252" spans="1:12" ht="21.75" customHeight="1" x14ac:dyDescent="0.15">
      <c r="A252" s="14"/>
      <c r="B252" s="16"/>
      <c r="C252" s="17"/>
      <c r="D252" s="17"/>
      <c r="E252" s="17"/>
      <c r="F252" s="17"/>
      <c r="G252" s="17"/>
      <c r="H252" s="18" t="s">
        <v>70</v>
      </c>
      <c r="I252" s="17"/>
      <c r="J252" s="17"/>
      <c r="K252" s="17"/>
      <c r="L252" s="14"/>
    </row>
    <row r="253" spans="1:12" ht="21.75" customHeight="1" x14ac:dyDescent="0.15">
      <c r="A253" s="14"/>
      <c r="B253" s="16"/>
      <c r="C253" s="17"/>
      <c r="D253" s="17"/>
      <c r="E253" s="17"/>
      <c r="F253" s="17"/>
      <c r="G253" s="17"/>
      <c r="H253" s="18" t="s">
        <v>70</v>
      </c>
      <c r="I253" s="17"/>
      <c r="J253" s="17"/>
      <c r="K253" s="17"/>
      <c r="L253" s="14"/>
    </row>
    <row r="254" spans="1:12" ht="21.75" customHeight="1" x14ac:dyDescent="0.15">
      <c r="A254" s="14"/>
      <c r="B254" s="16"/>
      <c r="C254" s="17"/>
      <c r="D254" s="17"/>
      <c r="E254" s="17"/>
      <c r="F254" s="17"/>
      <c r="G254" s="17"/>
      <c r="H254" s="18" t="s">
        <v>70</v>
      </c>
      <c r="I254" s="17"/>
      <c r="J254" s="17"/>
      <c r="K254" s="17"/>
      <c r="L254" s="14"/>
    </row>
    <row r="255" spans="1:12" ht="21.75" customHeight="1" x14ac:dyDescent="0.15">
      <c r="A255" s="14"/>
      <c r="B255" s="16"/>
      <c r="C255" s="17"/>
      <c r="D255" s="17"/>
      <c r="E255" s="17"/>
      <c r="F255" s="17"/>
      <c r="G255" s="17"/>
      <c r="H255" s="18" t="s">
        <v>70</v>
      </c>
      <c r="I255" s="17"/>
      <c r="J255" s="17"/>
      <c r="K255" s="17"/>
      <c r="L255" s="14"/>
    </row>
    <row r="256" spans="1:12" ht="21.75" customHeight="1" x14ac:dyDescent="0.15">
      <c r="A256" s="14"/>
      <c r="B256" s="16"/>
      <c r="C256" s="17"/>
      <c r="D256" s="17"/>
      <c r="E256" s="17"/>
      <c r="F256" s="17"/>
      <c r="G256" s="17"/>
      <c r="H256" s="18" t="s">
        <v>70</v>
      </c>
      <c r="I256" s="17"/>
      <c r="J256" s="17"/>
      <c r="K256" s="17"/>
      <c r="L256" s="14"/>
    </row>
    <row r="257" spans="1:12" ht="21.75" customHeight="1" x14ac:dyDescent="0.15">
      <c r="A257" s="14"/>
      <c r="B257" s="16"/>
      <c r="C257" s="17"/>
      <c r="D257" s="17"/>
      <c r="E257" s="17"/>
      <c r="F257" s="17"/>
      <c r="G257" s="17"/>
      <c r="H257" s="18" t="s">
        <v>70</v>
      </c>
      <c r="I257" s="17"/>
      <c r="J257" s="17"/>
      <c r="K257" s="17"/>
      <c r="L257" s="14"/>
    </row>
    <row r="258" spans="1:12" ht="21.75" customHeight="1" x14ac:dyDescent="0.15">
      <c r="A258" s="14"/>
      <c r="B258" s="16"/>
      <c r="C258" s="17"/>
      <c r="D258" s="17"/>
      <c r="E258" s="17"/>
      <c r="F258" s="17"/>
      <c r="G258" s="17"/>
      <c r="H258" s="18" t="s">
        <v>70</v>
      </c>
      <c r="I258" s="17"/>
      <c r="J258" s="17"/>
      <c r="K258" s="17"/>
      <c r="L258" s="14"/>
    </row>
    <row r="259" spans="1:12" ht="21.75" customHeight="1" x14ac:dyDescent="0.15">
      <c r="A259" s="14"/>
      <c r="B259" s="16"/>
      <c r="C259" s="17"/>
      <c r="D259" s="17"/>
      <c r="E259" s="17"/>
      <c r="F259" s="17"/>
      <c r="G259" s="17"/>
      <c r="H259" s="18" t="s">
        <v>70</v>
      </c>
      <c r="I259" s="17"/>
      <c r="J259" s="17"/>
      <c r="K259" s="17"/>
      <c r="L259" s="14"/>
    </row>
    <row r="260" spans="1:12" ht="21.75" customHeight="1" x14ac:dyDescent="0.15">
      <c r="A260" s="14"/>
      <c r="B260" s="16"/>
      <c r="C260" s="17"/>
      <c r="D260" s="17"/>
      <c r="E260" s="17"/>
      <c r="F260" s="17"/>
      <c r="G260" s="17"/>
      <c r="H260" s="18" t="s">
        <v>70</v>
      </c>
      <c r="I260" s="17"/>
      <c r="J260" s="17"/>
      <c r="K260" s="17"/>
      <c r="L260" s="14"/>
    </row>
    <row r="261" spans="1:12" ht="21.75" customHeight="1" x14ac:dyDescent="0.15">
      <c r="A261" s="14"/>
      <c r="B261" s="16"/>
      <c r="C261" s="17"/>
      <c r="D261" s="17"/>
      <c r="E261" s="17"/>
      <c r="F261" s="17"/>
      <c r="G261" s="17"/>
      <c r="H261" s="18" t="s">
        <v>70</v>
      </c>
      <c r="I261" s="17"/>
      <c r="J261" s="17"/>
      <c r="K261" s="17"/>
      <c r="L261" s="14"/>
    </row>
    <row r="262" spans="1:12" ht="21.75" customHeight="1" x14ac:dyDescent="0.15">
      <c r="A262" s="14"/>
      <c r="B262" s="16"/>
      <c r="C262" s="17"/>
      <c r="D262" s="17"/>
      <c r="E262" s="17"/>
      <c r="F262" s="17"/>
      <c r="G262" s="17"/>
      <c r="H262" s="18" t="s">
        <v>70</v>
      </c>
      <c r="I262" s="17"/>
      <c r="J262" s="17"/>
      <c r="K262" s="17"/>
      <c r="L262" s="14"/>
    </row>
    <row r="263" spans="1:12" ht="21.75" customHeight="1" x14ac:dyDescent="0.15">
      <c r="A263" s="14"/>
      <c r="B263" s="16"/>
      <c r="C263" s="17"/>
      <c r="D263" s="17"/>
      <c r="E263" s="17"/>
      <c r="F263" s="17"/>
      <c r="G263" s="17"/>
      <c r="H263" s="18" t="s">
        <v>70</v>
      </c>
      <c r="I263" s="17"/>
      <c r="J263" s="17"/>
      <c r="K263" s="17"/>
      <c r="L263" s="14"/>
    </row>
    <row r="264" spans="1:12" ht="21.75" customHeight="1" x14ac:dyDescent="0.15">
      <c r="A264" s="14"/>
      <c r="B264" s="16"/>
      <c r="C264" s="17"/>
      <c r="D264" s="17"/>
      <c r="E264" s="17"/>
      <c r="F264" s="17"/>
      <c r="G264" s="17"/>
      <c r="H264" s="18" t="s">
        <v>70</v>
      </c>
      <c r="I264" s="17"/>
      <c r="J264" s="17"/>
      <c r="K264" s="17"/>
      <c r="L264" s="14"/>
    </row>
    <row r="265" spans="1:12" ht="21.75" customHeight="1" x14ac:dyDescent="0.15">
      <c r="A265" s="14"/>
      <c r="B265" s="16"/>
      <c r="C265" s="17"/>
      <c r="D265" s="17"/>
      <c r="E265" s="17"/>
      <c r="F265" s="17"/>
      <c r="G265" s="17"/>
      <c r="H265" s="18" t="s">
        <v>70</v>
      </c>
      <c r="I265" s="17"/>
      <c r="J265" s="17"/>
      <c r="K265" s="17"/>
      <c r="L265" s="14"/>
    </row>
    <row r="266" spans="1:12" ht="21.75" customHeight="1" x14ac:dyDescent="0.15">
      <c r="A266" s="14"/>
      <c r="B266" s="16"/>
      <c r="C266" s="17"/>
      <c r="D266" s="17"/>
      <c r="E266" s="17"/>
      <c r="F266" s="17"/>
      <c r="G266" s="17"/>
      <c r="H266" s="18" t="s">
        <v>70</v>
      </c>
      <c r="I266" s="17"/>
      <c r="J266" s="17"/>
      <c r="K266" s="17"/>
      <c r="L266" s="14"/>
    </row>
    <row r="267" spans="1:12" ht="21.75" customHeight="1" x14ac:dyDescent="0.15">
      <c r="A267" s="14"/>
      <c r="B267" s="16"/>
      <c r="C267" s="17"/>
      <c r="D267" s="17"/>
      <c r="E267" s="17"/>
      <c r="F267" s="17"/>
      <c r="G267" s="17"/>
      <c r="H267" s="18" t="s">
        <v>70</v>
      </c>
      <c r="I267" s="17"/>
      <c r="J267" s="17"/>
      <c r="K267" s="17"/>
      <c r="L267" s="14"/>
    </row>
    <row r="268" spans="1:12" ht="21.75" customHeight="1" x14ac:dyDescent="0.15">
      <c r="A268" s="14"/>
      <c r="B268" s="16"/>
      <c r="C268" s="17"/>
      <c r="D268" s="17"/>
      <c r="E268" s="17"/>
      <c r="F268" s="17"/>
      <c r="G268" s="17"/>
      <c r="H268" s="18" t="s">
        <v>70</v>
      </c>
      <c r="I268" s="17"/>
      <c r="J268" s="17"/>
      <c r="K268" s="17"/>
      <c r="L268" s="14"/>
    </row>
    <row r="269" spans="1:12" ht="21.75" customHeight="1" x14ac:dyDescent="0.15">
      <c r="A269" s="14"/>
      <c r="B269" s="16"/>
      <c r="C269" s="17"/>
      <c r="D269" s="17"/>
      <c r="E269" s="17"/>
      <c r="F269" s="17"/>
      <c r="G269" s="17"/>
      <c r="H269" s="18" t="s">
        <v>70</v>
      </c>
      <c r="I269" s="17"/>
      <c r="J269" s="17"/>
      <c r="K269" s="17"/>
      <c r="L269" s="14"/>
    </row>
    <row r="270" spans="1:12" ht="21.75" customHeight="1" x14ac:dyDescent="0.15">
      <c r="A270" s="14"/>
      <c r="B270" s="16"/>
      <c r="C270" s="17"/>
      <c r="D270" s="17"/>
      <c r="E270" s="17"/>
      <c r="F270" s="17"/>
      <c r="G270" s="17"/>
      <c r="H270" s="18" t="s">
        <v>70</v>
      </c>
      <c r="I270" s="17"/>
      <c r="J270" s="17"/>
      <c r="K270" s="17"/>
      <c r="L270" s="14"/>
    </row>
    <row r="271" spans="1:12" ht="21.75" customHeight="1" x14ac:dyDescent="0.15">
      <c r="A271" s="14"/>
      <c r="B271" s="16"/>
      <c r="C271" s="17"/>
      <c r="D271" s="17"/>
      <c r="E271" s="17"/>
      <c r="F271" s="17"/>
      <c r="G271" s="17"/>
      <c r="H271" s="18" t="s">
        <v>70</v>
      </c>
      <c r="I271" s="17"/>
      <c r="J271" s="17"/>
      <c r="K271" s="17"/>
      <c r="L271" s="14"/>
    </row>
    <row r="272" spans="1:12" ht="21.75" customHeight="1" x14ac:dyDescent="0.15">
      <c r="A272" s="14"/>
      <c r="B272" s="16"/>
      <c r="C272" s="17"/>
      <c r="D272" s="17"/>
      <c r="E272" s="17"/>
      <c r="F272" s="17"/>
      <c r="G272" s="17"/>
      <c r="H272" s="18" t="s">
        <v>70</v>
      </c>
      <c r="I272" s="17"/>
      <c r="J272" s="17"/>
      <c r="K272" s="17"/>
      <c r="L272" s="14"/>
    </row>
    <row r="273" spans="1:12" ht="21.75" customHeight="1" x14ac:dyDescent="0.15">
      <c r="A273" s="14"/>
      <c r="B273" s="16"/>
      <c r="C273" s="17"/>
      <c r="D273" s="17"/>
      <c r="E273" s="17"/>
      <c r="F273" s="17"/>
      <c r="G273" s="17"/>
      <c r="H273" s="18" t="s">
        <v>70</v>
      </c>
      <c r="I273" s="17"/>
      <c r="J273" s="17"/>
      <c r="K273" s="17"/>
      <c r="L273" s="14"/>
    </row>
    <row r="274" spans="1:12" ht="21.75" customHeight="1" x14ac:dyDescent="0.15">
      <c r="A274" s="14"/>
      <c r="B274" s="16"/>
      <c r="C274" s="17"/>
      <c r="D274" s="17"/>
      <c r="E274" s="17"/>
      <c r="F274" s="17"/>
      <c r="G274" s="17"/>
      <c r="H274" s="18" t="s">
        <v>70</v>
      </c>
      <c r="I274" s="17"/>
      <c r="J274" s="17"/>
      <c r="K274" s="17"/>
      <c r="L274" s="14"/>
    </row>
    <row r="275" spans="1:12" ht="21.75" customHeight="1" x14ac:dyDescent="0.15">
      <c r="A275" s="14"/>
      <c r="B275" s="16"/>
      <c r="C275" s="17"/>
      <c r="D275" s="17"/>
      <c r="E275" s="17"/>
      <c r="F275" s="17"/>
      <c r="G275" s="17"/>
      <c r="H275" s="18" t="s">
        <v>70</v>
      </c>
      <c r="I275" s="17"/>
      <c r="J275" s="17"/>
      <c r="K275" s="17"/>
      <c r="L275" s="14"/>
    </row>
    <row r="276" spans="1:12" ht="21.75" customHeight="1" x14ac:dyDescent="0.15">
      <c r="A276" s="14"/>
      <c r="B276" s="16"/>
      <c r="C276" s="17"/>
      <c r="D276" s="17"/>
      <c r="E276" s="17"/>
      <c r="F276" s="17"/>
      <c r="G276" s="17"/>
      <c r="H276" s="18" t="s">
        <v>70</v>
      </c>
      <c r="I276" s="17"/>
      <c r="J276" s="17"/>
      <c r="K276" s="17"/>
      <c r="L276" s="14"/>
    </row>
    <row r="277" spans="1:12" ht="21.75" customHeight="1" x14ac:dyDescent="0.15">
      <c r="A277" s="14"/>
      <c r="B277" s="16"/>
      <c r="C277" s="17"/>
      <c r="D277" s="17"/>
      <c r="E277" s="17"/>
      <c r="F277" s="17"/>
      <c r="G277" s="17"/>
      <c r="H277" s="18" t="s">
        <v>70</v>
      </c>
      <c r="I277" s="17"/>
      <c r="J277" s="17"/>
      <c r="K277" s="17"/>
      <c r="L277" s="14"/>
    </row>
    <row r="278" spans="1:12" ht="21.75" customHeight="1" x14ac:dyDescent="0.15">
      <c r="A278" s="14"/>
      <c r="B278" s="16"/>
      <c r="C278" s="17"/>
      <c r="D278" s="17"/>
      <c r="E278" s="17"/>
      <c r="F278" s="17"/>
      <c r="G278" s="17"/>
      <c r="H278" s="18" t="s">
        <v>70</v>
      </c>
      <c r="I278" s="17"/>
      <c r="J278" s="17"/>
      <c r="K278" s="17"/>
      <c r="L278" s="14"/>
    </row>
    <row r="279" spans="1:12" ht="21.75" customHeight="1" x14ac:dyDescent="0.15">
      <c r="A279" s="14"/>
      <c r="B279" s="16"/>
      <c r="C279" s="17"/>
      <c r="D279" s="17"/>
      <c r="E279" s="17"/>
      <c r="F279" s="17"/>
      <c r="G279" s="17"/>
      <c r="H279" s="18" t="s">
        <v>70</v>
      </c>
      <c r="I279" s="17"/>
      <c r="J279" s="17"/>
      <c r="K279" s="17"/>
      <c r="L279" s="14"/>
    </row>
    <row r="280" spans="1:12" ht="21.75" customHeight="1" x14ac:dyDescent="0.15">
      <c r="A280" s="14"/>
      <c r="B280" s="16"/>
      <c r="C280" s="17"/>
      <c r="D280" s="17"/>
      <c r="E280" s="17"/>
      <c r="F280" s="17"/>
      <c r="G280" s="17"/>
      <c r="H280" s="18" t="s">
        <v>70</v>
      </c>
      <c r="I280" s="17"/>
      <c r="J280" s="17"/>
      <c r="K280" s="17"/>
      <c r="L280" s="14"/>
    </row>
    <row r="281" spans="1:12" ht="21.75" customHeight="1" x14ac:dyDescent="0.15">
      <c r="A281" s="14"/>
      <c r="B281" s="16"/>
      <c r="C281" s="17"/>
      <c r="D281" s="17"/>
      <c r="E281" s="17"/>
      <c r="F281" s="17"/>
      <c r="G281" s="17"/>
      <c r="H281" s="18" t="s">
        <v>70</v>
      </c>
      <c r="I281" s="17"/>
      <c r="J281" s="17"/>
      <c r="K281" s="17"/>
      <c r="L281" s="14"/>
    </row>
    <row r="282" spans="1:12" ht="21.75" customHeight="1" x14ac:dyDescent="0.15">
      <c r="A282" s="14"/>
      <c r="B282" s="16"/>
      <c r="C282" s="17"/>
      <c r="D282" s="17"/>
      <c r="E282" s="17"/>
      <c r="F282" s="17"/>
      <c r="G282" s="17"/>
      <c r="H282" s="18" t="s">
        <v>70</v>
      </c>
      <c r="I282" s="17"/>
      <c r="J282" s="17"/>
      <c r="K282" s="17"/>
      <c r="L282" s="14"/>
    </row>
    <row r="283" spans="1:12" ht="21.75" customHeight="1" x14ac:dyDescent="0.15">
      <c r="A283" s="14"/>
      <c r="B283" s="16"/>
      <c r="C283" s="17"/>
      <c r="D283" s="17"/>
      <c r="E283" s="17"/>
      <c r="F283" s="17"/>
      <c r="G283" s="17"/>
      <c r="H283" s="18" t="s">
        <v>70</v>
      </c>
      <c r="I283" s="17"/>
      <c r="J283" s="17"/>
      <c r="K283" s="17"/>
      <c r="L283" s="14"/>
    </row>
    <row r="284" spans="1:12" ht="21.75" customHeight="1" x14ac:dyDescent="0.15">
      <c r="A284" s="14"/>
      <c r="B284" s="16"/>
      <c r="C284" s="17"/>
      <c r="D284" s="17"/>
      <c r="E284" s="17"/>
      <c r="F284" s="17"/>
      <c r="G284" s="17"/>
      <c r="H284" s="18" t="s">
        <v>70</v>
      </c>
      <c r="I284" s="17"/>
      <c r="J284" s="17"/>
      <c r="K284" s="17"/>
      <c r="L284" s="14"/>
    </row>
    <row r="285" spans="1:12" ht="21.75" customHeight="1" x14ac:dyDescent="0.15">
      <c r="A285" s="14"/>
      <c r="B285" s="16"/>
      <c r="C285" s="17"/>
      <c r="D285" s="17"/>
      <c r="E285" s="17"/>
      <c r="F285" s="17"/>
      <c r="G285" s="17"/>
      <c r="H285" s="18" t="s">
        <v>70</v>
      </c>
      <c r="I285" s="17"/>
      <c r="J285" s="17"/>
      <c r="K285" s="17"/>
      <c r="L285" s="14"/>
    </row>
    <row r="286" spans="1:12" ht="21.75" customHeight="1" x14ac:dyDescent="0.15">
      <c r="A286" s="14"/>
      <c r="B286" s="16"/>
      <c r="C286" s="17"/>
      <c r="D286" s="17"/>
      <c r="E286" s="17"/>
      <c r="F286" s="17"/>
      <c r="G286" s="17"/>
      <c r="H286" s="18" t="s">
        <v>70</v>
      </c>
      <c r="I286" s="17"/>
      <c r="J286" s="17"/>
      <c r="K286" s="17"/>
      <c r="L286" s="14"/>
    </row>
    <row r="287" spans="1:12" ht="21.75" customHeight="1" x14ac:dyDescent="0.15">
      <c r="A287" s="14"/>
      <c r="B287" s="16"/>
      <c r="C287" s="17"/>
      <c r="D287" s="17"/>
      <c r="E287" s="17"/>
      <c r="F287" s="17"/>
      <c r="G287" s="17"/>
      <c r="H287" s="18" t="s">
        <v>70</v>
      </c>
      <c r="I287" s="17"/>
      <c r="J287" s="17"/>
      <c r="K287" s="17"/>
      <c r="L287" s="14"/>
    </row>
    <row r="288" spans="1:12" ht="21.75" customHeight="1" x14ac:dyDescent="0.15">
      <c r="A288" s="14"/>
      <c r="B288" s="16"/>
      <c r="C288" s="17"/>
      <c r="D288" s="17"/>
      <c r="E288" s="17"/>
      <c r="F288" s="17"/>
      <c r="G288" s="17"/>
      <c r="H288" s="18" t="s">
        <v>70</v>
      </c>
      <c r="I288" s="17"/>
      <c r="J288" s="17"/>
      <c r="K288" s="17"/>
      <c r="L288" s="14"/>
    </row>
    <row r="289" spans="1:12" ht="21.75" customHeight="1" x14ac:dyDescent="0.15">
      <c r="A289" s="14"/>
      <c r="B289" s="16"/>
      <c r="C289" s="17"/>
      <c r="D289" s="17"/>
      <c r="E289" s="17"/>
      <c r="F289" s="17"/>
      <c r="G289" s="17"/>
      <c r="H289" s="18" t="s">
        <v>70</v>
      </c>
      <c r="I289" s="17"/>
      <c r="J289" s="17"/>
      <c r="K289" s="17"/>
      <c r="L289" s="14"/>
    </row>
    <row r="290" spans="1:12" ht="21.75" customHeight="1" x14ac:dyDescent="0.15">
      <c r="A290" s="14"/>
      <c r="B290" s="16"/>
      <c r="C290" s="17"/>
      <c r="D290" s="17"/>
      <c r="E290" s="17"/>
      <c r="F290" s="17"/>
      <c r="G290" s="17"/>
      <c r="H290" s="18" t="s">
        <v>70</v>
      </c>
      <c r="I290" s="17"/>
      <c r="J290" s="17"/>
      <c r="K290" s="17"/>
      <c r="L290" s="14"/>
    </row>
    <row r="291" spans="1:12" ht="21.75" customHeight="1" x14ac:dyDescent="0.15">
      <c r="A291" s="14"/>
      <c r="B291" s="16"/>
      <c r="C291" s="17"/>
      <c r="D291" s="17"/>
      <c r="E291" s="17"/>
      <c r="F291" s="17"/>
      <c r="G291" s="17"/>
      <c r="H291" s="18" t="s">
        <v>70</v>
      </c>
      <c r="I291" s="17"/>
      <c r="J291" s="17"/>
      <c r="K291" s="17"/>
      <c r="L291" s="14"/>
    </row>
    <row r="292" spans="1:12" ht="21.75" customHeight="1" x14ac:dyDescent="0.15">
      <c r="A292" s="14"/>
      <c r="B292" s="16"/>
      <c r="C292" s="17"/>
      <c r="D292" s="17"/>
      <c r="E292" s="17"/>
      <c r="F292" s="17"/>
      <c r="G292" s="17"/>
      <c r="H292" s="18" t="s">
        <v>70</v>
      </c>
      <c r="I292" s="17"/>
      <c r="J292" s="17"/>
      <c r="K292" s="17"/>
      <c r="L292" s="14"/>
    </row>
    <row r="293" spans="1:12" ht="21.75" customHeight="1" x14ac:dyDescent="0.15">
      <c r="A293" s="14"/>
      <c r="B293" s="16"/>
      <c r="C293" s="17"/>
      <c r="D293" s="17"/>
      <c r="E293" s="17"/>
      <c r="F293" s="17"/>
      <c r="G293" s="17"/>
      <c r="H293" s="18" t="s">
        <v>70</v>
      </c>
      <c r="I293" s="17"/>
      <c r="J293" s="17"/>
      <c r="K293" s="17"/>
      <c r="L293" s="14"/>
    </row>
    <row r="294" spans="1:12" ht="21.75" customHeight="1" x14ac:dyDescent="0.15">
      <c r="A294" s="14"/>
      <c r="B294" s="16"/>
      <c r="C294" s="17"/>
      <c r="D294" s="17"/>
      <c r="E294" s="17"/>
      <c r="F294" s="17"/>
      <c r="G294" s="17"/>
      <c r="H294" s="18" t="s">
        <v>70</v>
      </c>
      <c r="I294" s="17"/>
      <c r="J294" s="17"/>
      <c r="K294" s="17"/>
      <c r="L294" s="14"/>
    </row>
    <row r="295" spans="1:12" ht="21.75" customHeight="1" x14ac:dyDescent="0.15">
      <c r="A295" s="14"/>
      <c r="B295" s="16"/>
      <c r="C295" s="17"/>
      <c r="D295" s="17"/>
      <c r="E295" s="17"/>
      <c r="F295" s="17"/>
      <c r="G295" s="17"/>
      <c r="H295" s="18" t="s">
        <v>70</v>
      </c>
      <c r="I295" s="17"/>
      <c r="J295" s="17"/>
      <c r="K295" s="17"/>
      <c r="L295" s="14"/>
    </row>
    <row r="296" spans="1:12" ht="21.75" customHeight="1" x14ac:dyDescent="0.15">
      <c r="A296" s="14"/>
      <c r="B296" s="16"/>
      <c r="C296" s="17"/>
      <c r="D296" s="17"/>
      <c r="E296" s="17"/>
      <c r="F296" s="17"/>
      <c r="G296" s="17"/>
      <c r="H296" s="18" t="s">
        <v>70</v>
      </c>
      <c r="I296" s="17"/>
      <c r="J296" s="17"/>
      <c r="K296" s="17"/>
      <c r="L296" s="14"/>
    </row>
    <row r="297" spans="1:12" ht="21.75" customHeight="1" x14ac:dyDescent="0.15">
      <c r="A297" s="14"/>
      <c r="B297" s="16"/>
      <c r="C297" s="17"/>
      <c r="D297" s="17"/>
      <c r="E297" s="17"/>
      <c r="F297" s="17"/>
      <c r="G297" s="17"/>
      <c r="H297" s="18" t="s">
        <v>70</v>
      </c>
      <c r="I297" s="17"/>
      <c r="J297" s="17"/>
      <c r="K297" s="17"/>
      <c r="L297" s="14"/>
    </row>
    <row r="298" spans="1:12" ht="21.75" customHeight="1" x14ac:dyDescent="0.15">
      <c r="A298" s="14"/>
      <c r="B298" s="16"/>
      <c r="C298" s="17"/>
      <c r="D298" s="17"/>
      <c r="E298" s="17"/>
      <c r="F298" s="17"/>
      <c r="G298" s="17"/>
      <c r="H298" s="18" t="s">
        <v>70</v>
      </c>
      <c r="I298" s="17"/>
      <c r="J298" s="17"/>
      <c r="K298" s="17"/>
      <c r="L298" s="14"/>
    </row>
    <row r="299" spans="1:12" ht="21.75" customHeight="1" x14ac:dyDescent="0.15">
      <c r="A299" s="14"/>
      <c r="B299" s="16"/>
      <c r="C299" s="17"/>
      <c r="D299" s="17"/>
      <c r="E299" s="17"/>
      <c r="F299" s="17"/>
      <c r="G299" s="17"/>
      <c r="H299" s="18" t="s">
        <v>70</v>
      </c>
      <c r="I299" s="17"/>
      <c r="J299" s="17"/>
      <c r="K299" s="17"/>
      <c r="L299" s="14"/>
    </row>
    <row r="300" spans="1:12" ht="21.75" customHeight="1" x14ac:dyDescent="0.15">
      <c r="A300" s="14"/>
      <c r="B300" s="16"/>
      <c r="C300" s="17"/>
      <c r="D300" s="17"/>
      <c r="E300" s="17"/>
      <c r="F300" s="17"/>
      <c r="G300" s="17"/>
      <c r="H300" s="18" t="s">
        <v>70</v>
      </c>
      <c r="I300" s="17"/>
      <c r="J300" s="17"/>
      <c r="K300" s="17"/>
      <c r="L300" s="14"/>
    </row>
    <row r="301" spans="1:12" ht="21.75" customHeight="1" x14ac:dyDescent="0.15">
      <c r="A301" s="14"/>
      <c r="B301" s="16"/>
      <c r="C301" s="17"/>
      <c r="D301" s="17"/>
      <c r="E301" s="17"/>
      <c r="F301" s="17"/>
      <c r="G301" s="17"/>
      <c r="H301" s="18" t="s">
        <v>70</v>
      </c>
      <c r="I301" s="17"/>
      <c r="J301" s="17"/>
      <c r="K301" s="17"/>
      <c r="L301" s="14"/>
    </row>
    <row r="302" spans="1:12" ht="21.75" customHeight="1" x14ac:dyDescent="0.15">
      <c r="A302" s="14"/>
      <c r="B302" s="16"/>
      <c r="C302" s="17"/>
      <c r="D302" s="17"/>
      <c r="E302" s="17"/>
      <c r="F302" s="17"/>
      <c r="G302" s="17"/>
      <c r="H302" s="18" t="s">
        <v>70</v>
      </c>
      <c r="I302" s="17"/>
      <c r="J302" s="17"/>
      <c r="K302" s="17"/>
      <c r="L302" s="14"/>
    </row>
    <row r="303" spans="1:12" ht="21.75" customHeight="1" x14ac:dyDescent="0.15">
      <c r="A303" s="14"/>
      <c r="B303" s="16"/>
      <c r="C303" s="17"/>
      <c r="D303" s="17"/>
      <c r="E303" s="17"/>
      <c r="F303" s="17"/>
      <c r="G303" s="17"/>
      <c r="H303" s="18" t="s">
        <v>70</v>
      </c>
      <c r="I303" s="17"/>
      <c r="J303" s="17"/>
      <c r="K303" s="17"/>
      <c r="L303" s="14"/>
    </row>
    <row r="304" spans="1:12" ht="21.75" customHeight="1" x14ac:dyDescent="0.15">
      <c r="A304" s="14"/>
      <c r="B304" s="16"/>
      <c r="C304" s="17"/>
      <c r="D304" s="17"/>
      <c r="E304" s="17"/>
      <c r="F304" s="17"/>
      <c r="G304" s="17"/>
      <c r="H304" s="18" t="s">
        <v>70</v>
      </c>
      <c r="I304" s="17"/>
      <c r="J304" s="17"/>
      <c r="K304" s="17"/>
      <c r="L304" s="14"/>
    </row>
    <row r="305" spans="1:12" ht="21.75" customHeight="1" x14ac:dyDescent="0.15">
      <c r="A305" s="14"/>
      <c r="B305" s="16"/>
      <c r="C305" s="17"/>
      <c r="D305" s="17"/>
      <c r="E305" s="17"/>
      <c r="F305" s="17"/>
      <c r="G305" s="17"/>
      <c r="H305" s="18" t="s">
        <v>70</v>
      </c>
      <c r="I305" s="17"/>
      <c r="J305" s="17"/>
      <c r="K305" s="17"/>
      <c r="L305" s="14"/>
    </row>
    <row r="306" spans="1:12" ht="21.75" customHeight="1" x14ac:dyDescent="0.15">
      <c r="A306" s="14"/>
      <c r="B306" s="16"/>
      <c r="C306" s="17"/>
      <c r="D306" s="17"/>
      <c r="E306" s="17"/>
      <c r="F306" s="17"/>
      <c r="G306" s="17"/>
      <c r="H306" s="18" t="s">
        <v>70</v>
      </c>
      <c r="I306" s="17"/>
      <c r="J306" s="17"/>
      <c r="K306" s="17"/>
      <c r="L306" s="14"/>
    </row>
    <row r="307" spans="1:12" ht="21.75" customHeight="1" x14ac:dyDescent="0.15">
      <c r="A307" s="14"/>
      <c r="B307" s="16"/>
      <c r="C307" s="17"/>
      <c r="D307" s="17"/>
      <c r="E307" s="17"/>
      <c r="F307" s="17"/>
      <c r="G307" s="17"/>
      <c r="H307" s="18" t="s">
        <v>70</v>
      </c>
      <c r="I307" s="17"/>
      <c r="J307" s="17"/>
      <c r="K307" s="17"/>
      <c r="L307" s="14"/>
    </row>
    <row r="308" spans="1:12" ht="21.75" customHeight="1" x14ac:dyDescent="0.15">
      <c r="A308" s="14"/>
      <c r="B308" s="16"/>
      <c r="C308" s="17"/>
      <c r="D308" s="17"/>
      <c r="E308" s="17"/>
      <c r="F308" s="17"/>
      <c r="G308" s="17"/>
      <c r="H308" s="18" t="s">
        <v>70</v>
      </c>
      <c r="I308" s="17"/>
      <c r="J308" s="17"/>
      <c r="K308" s="17"/>
      <c r="L308" s="14"/>
    </row>
    <row r="309" spans="1:12" ht="21.75" customHeight="1" x14ac:dyDescent="0.15">
      <c r="A309" s="14"/>
      <c r="B309" s="16"/>
      <c r="C309" s="17"/>
      <c r="D309" s="17"/>
      <c r="E309" s="17"/>
      <c r="F309" s="17"/>
      <c r="G309" s="17"/>
      <c r="H309" s="18" t="s">
        <v>70</v>
      </c>
      <c r="I309" s="17"/>
      <c r="J309" s="17"/>
      <c r="K309" s="17"/>
      <c r="L309" s="14"/>
    </row>
    <row r="310" spans="1:12" ht="21.75" customHeight="1" x14ac:dyDescent="0.15">
      <c r="A310" s="14"/>
      <c r="B310" s="16"/>
      <c r="C310" s="17"/>
      <c r="D310" s="17"/>
      <c r="E310" s="17"/>
      <c r="F310" s="17"/>
      <c r="G310" s="17"/>
      <c r="H310" s="18" t="s">
        <v>70</v>
      </c>
      <c r="I310" s="17"/>
      <c r="J310" s="17"/>
      <c r="K310" s="17"/>
      <c r="L310" s="14"/>
    </row>
    <row r="311" spans="1:12" ht="21.75" customHeight="1" x14ac:dyDescent="0.15">
      <c r="A311" s="14"/>
      <c r="B311" s="16"/>
      <c r="C311" s="17"/>
      <c r="D311" s="17"/>
      <c r="E311" s="17"/>
      <c r="F311" s="17"/>
      <c r="G311" s="17"/>
      <c r="H311" s="18" t="s">
        <v>70</v>
      </c>
      <c r="I311" s="17"/>
      <c r="J311" s="17"/>
      <c r="K311" s="17"/>
      <c r="L311" s="14"/>
    </row>
    <row r="312" spans="1:12" ht="21.75" customHeight="1" x14ac:dyDescent="0.15">
      <c r="A312" s="14"/>
      <c r="B312" s="16"/>
      <c r="C312" s="17"/>
      <c r="D312" s="17"/>
      <c r="E312" s="17"/>
      <c r="F312" s="17"/>
      <c r="G312" s="17"/>
      <c r="H312" s="18" t="s">
        <v>70</v>
      </c>
      <c r="I312" s="17"/>
      <c r="J312" s="17"/>
      <c r="K312" s="17"/>
      <c r="L312" s="14"/>
    </row>
    <row r="313" spans="1:12" ht="21.75" customHeight="1" x14ac:dyDescent="0.15">
      <c r="A313" s="14"/>
      <c r="B313" s="16"/>
      <c r="C313" s="17"/>
      <c r="D313" s="17"/>
      <c r="E313" s="17"/>
      <c r="F313" s="17"/>
      <c r="G313" s="17"/>
      <c r="H313" s="18" t="s">
        <v>70</v>
      </c>
      <c r="I313" s="17"/>
      <c r="J313" s="17"/>
      <c r="K313" s="17"/>
      <c r="L313" s="14"/>
    </row>
    <row r="314" spans="1:12" ht="21.75" customHeight="1" x14ac:dyDescent="0.15">
      <c r="A314" s="14"/>
      <c r="B314" s="16"/>
      <c r="C314" s="17"/>
      <c r="D314" s="17"/>
      <c r="E314" s="17"/>
      <c r="F314" s="17"/>
      <c r="G314" s="17"/>
      <c r="H314" s="18" t="s">
        <v>70</v>
      </c>
      <c r="I314" s="17"/>
      <c r="J314" s="17"/>
      <c r="K314" s="17"/>
      <c r="L314" s="14"/>
    </row>
    <row r="315" spans="1:12" ht="21.75" customHeight="1" x14ac:dyDescent="0.15">
      <c r="A315" s="14"/>
      <c r="B315" s="16"/>
      <c r="C315" s="17"/>
      <c r="D315" s="17"/>
      <c r="E315" s="17"/>
      <c r="F315" s="17"/>
      <c r="G315" s="17"/>
      <c r="H315" s="18" t="s">
        <v>70</v>
      </c>
      <c r="I315" s="17"/>
      <c r="J315" s="17"/>
      <c r="K315" s="17"/>
      <c r="L315" s="14"/>
    </row>
    <row r="316" spans="1:12" ht="21.75" customHeight="1" x14ac:dyDescent="0.15">
      <c r="A316" s="14"/>
      <c r="B316" s="16"/>
      <c r="C316" s="17"/>
      <c r="D316" s="17"/>
      <c r="E316" s="17"/>
      <c r="F316" s="17"/>
      <c r="G316" s="17"/>
      <c r="H316" s="18" t="s">
        <v>70</v>
      </c>
      <c r="I316" s="17"/>
      <c r="J316" s="17"/>
      <c r="K316" s="17"/>
      <c r="L316" s="14"/>
    </row>
    <row r="317" spans="1:12" ht="21.75" customHeight="1" x14ac:dyDescent="0.15">
      <c r="A317" s="14"/>
      <c r="B317" s="16"/>
      <c r="C317" s="17"/>
      <c r="D317" s="17"/>
      <c r="E317" s="17"/>
      <c r="F317" s="17"/>
      <c r="G317" s="17"/>
      <c r="H317" s="18" t="s">
        <v>70</v>
      </c>
      <c r="I317" s="17"/>
      <c r="J317" s="17"/>
      <c r="K317" s="17"/>
      <c r="L317" s="14"/>
    </row>
    <row r="318" spans="1:12" ht="21.75" customHeight="1" x14ac:dyDescent="0.15">
      <c r="A318" s="14"/>
      <c r="B318" s="16"/>
      <c r="C318" s="17"/>
      <c r="D318" s="17"/>
      <c r="E318" s="17"/>
      <c r="F318" s="17"/>
      <c r="G318" s="17"/>
      <c r="H318" s="18" t="s">
        <v>70</v>
      </c>
      <c r="I318" s="17"/>
      <c r="J318" s="17"/>
      <c r="K318" s="17"/>
      <c r="L318" s="14"/>
    </row>
    <row r="319" spans="1:12" ht="21.75" customHeight="1" x14ac:dyDescent="0.15">
      <c r="A319" s="14"/>
      <c r="B319" s="16"/>
      <c r="C319" s="17"/>
      <c r="D319" s="17"/>
      <c r="E319" s="17"/>
      <c r="F319" s="17"/>
      <c r="G319" s="17"/>
      <c r="H319" s="18" t="s">
        <v>70</v>
      </c>
      <c r="I319" s="17"/>
      <c r="J319" s="17"/>
      <c r="K319" s="17"/>
      <c r="L319" s="14"/>
    </row>
    <row r="320" spans="1:12" ht="21.75" customHeight="1" x14ac:dyDescent="0.15">
      <c r="A320" s="14"/>
      <c r="B320" s="16"/>
      <c r="C320" s="17"/>
      <c r="D320" s="17"/>
      <c r="E320" s="17"/>
      <c r="F320" s="17"/>
      <c r="G320" s="17"/>
      <c r="H320" s="18" t="s">
        <v>70</v>
      </c>
      <c r="I320" s="17"/>
      <c r="J320" s="17"/>
      <c r="K320" s="17"/>
      <c r="L320" s="14"/>
    </row>
    <row r="321" spans="1:12" ht="21.75" customHeight="1" x14ac:dyDescent="0.15">
      <c r="A321" s="14"/>
      <c r="B321" s="16"/>
      <c r="C321" s="17"/>
      <c r="D321" s="17"/>
      <c r="E321" s="17"/>
      <c r="F321" s="17"/>
      <c r="G321" s="17"/>
      <c r="H321" s="18" t="s">
        <v>70</v>
      </c>
      <c r="I321" s="17"/>
      <c r="J321" s="17"/>
      <c r="K321" s="17"/>
      <c r="L321" s="14"/>
    </row>
    <row r="322" spans="1:12" ht="21.75" customHeight="1" x14ac:dyDescent="0.15">
      <c r="A322" s="14"/>
      <c r="B322" s="16"/>
      <c r="C322" s="17"/>
      <c r="D322" s="17"/>
      <c r="E322" s="17"/>
      <c r="F322" s="17"/>
      <c r="G322" s="17"/>
      <c r="H322" s="18" t="s">
        <v>70</v>
      </c>
      <c r="I322" s="17"/>
      <c r="J322" s="17"/>
      <c r="K322" s="17"/>
      <c r="L322" s="14"/>
    </row>
    <row r="323" spans="1:12" ht="21.75" customHeight="1" x14ac:dyDescent="0.15">
      <c r="A323" s="14"/>
      <c r="B323" s="16"/>
      <c r="C323" s="17"/>
      <c r="D323" s="17"/>
      <c r="E323" s="17"/>
      <c r="F323" s="17"/>
      <c r="G323" s="17"/>
      <c r="H323" s="18" t="s">
        <v>70</v>
      </c>
      <c r="I323" s="17"/>
      <c r="J323" s="17"/>
      <c r="K323" s="17"/>
      <c r="L323" s="14"/>
    </row>
    <row r="324" spans="1:12" ht="21.75" customHeight="1" x14ac:dyDescent="0.15">
      <c r="A324" s="14"/>
      <c r="B324" s="16"/>
      <c r="C324" s="17"/>
      <c r="D324" s="17"/>
      <c r="E324" s="17"/>
      <c r="F324" s="17"/>
      <c r="G324" s="17"/>
      <c r="H324" s="18" t="s">
        <v>70</v>
      </c>
      <c r="I324" s="17"/>
      <c r="J324" s="17"/>
      <c r="K324" s="17"/>
      <c r="L324" s="14"/>
    </row>
    <row r="325" spans="1:12" ht="21.75" customHeight="1" x14ac:dyDescent="0.15">
      <c r="A325" s="14"/>
      <c r="B325" s="16"/>
      <c r="C325" s="17"/>
      <c r="D325" s="17"/>
      <c r="E325" s="17"/>
      <c r="F325" s="17"/>
      <c r="G325" s="17"/>
      <c r="H325" s="18" t="s">
        <v>70</v>
      </c>
      <c r="I325" s="17"/>
      <c r="J325" s="17"/>
      <c r="K325" s="17"/>
      <c r="L325" s="14"/>
    </row>
    <row r="326" spans="1:12" ht="21.75" customHeight="1" x14ac:dyDescent="0.15">
      <c r="A326" s="14"/>
      <c r="B326" s="16"/>
      <c r="C326" s="17"/>
      <c r="D326" s="17"/>
      <c r="E326" s="17"/>
      <c r="F326" s="17"/>
      <c r="G326" s="17"/>
      <c r="H326" s="18" t="s">
        <v>70</v>
      </c>
      <c r="I326" s="17"/>
      <c r="J326" s="17"/>
      <c r="K326" s="17"/>
      <c r="L326" s="14"/>
    </row>
    <row r="327" spans="1:12" ht="21.75" customHeight="1" x14ac:dyDescent="0.15">
      <c r="A327" s="14"/>
      <c r="B327" s="16"/>
      <c r="C327" s="17"/>
      <c r="D327" s="17"/>
      <c r="E327" s="17"/>
      <c r="F327" s="17"/>
      <c r="G327" s="17"/>
      <c r="H327" s="18" t="s">
        <v>70</v>
      </c>
      <c r="I327" s="17"/>
      <c r="J327" s="17"/>
      <c r="K327" s="17"/>
      <c r="L327" s="14"/>
    </row>
    <row r="328" spans="1:12" ht="21.75" customHeight="1" x14ac:dyDescent="0.15">
      <c r="A328" s="14"/>
      <c r="B328" s="16"/>
      <c r="C328" s="17"/>
      <c r="D328" s="17"/>
      <c r="E328" s="17"/>
      <c r="F328" s="17"/>
      <c r="G328" s="17"/>
      <c r="H328" s="18" t="s">
        <v>70</v>
      </c>
      <c r="I328" s="17"/>
      <c r="J328" s="17"/>
      <c r="K328" s="17"/>
      <c r="L328" s="14"/>
    </row>
    <row r="329" spans="1:12" ht="21.75" customHeight="1" x14ac:dyDescent="0.15">
      <c r="A329" s="14"/>
      <c r="B329" s="16"/>
      <c r="C329" s="17"/>
      <c r="D329" s="17"/>
      <c r="E329" s="17"/>
      <c r="F329" s="17"/>
      <c r="G329" s="17"/>
      <c r="H329" s="18" t="s">
        <v>70</v>
      </c>
      <c r="I329" s="17"/>
      <c r="J329" s="17"/>
      <c r="K329" s="17"/>
      <c r="L329" s="14"/>
    </row>
    <row r="330" spans="1:12" ht="21.75" customHeight="1" x14ac:dyDescent="0.15">
      <c r="A330" s="14"/>
      <c r="B330" s="16"/>
      <c r="C330" s="17"/>
      <c r="D330" s="17"/>
      <c r="E330" s="17"/>
      <c r="F330" s="17"/>
      <c r="G330" s="17"/>
      <c r="H330" s="18" t="s">
        <v>70</v>
      </c>
      <c r="I330" s="17"/>
      <c r="J330" s="17"/>
      <c r="K330" s="17"/>
      <c r="L330" s="14"/>
    </row>
    <row r="331" spans="1:12" ht="21.75" customHeight="1" x14ac:dyDescent="0.15">
      <c r="A331" s="14"/>
      <c r="B331" s="16"/>
      <c r="C331" s="17"/>
      <c r="D331" s="17"/>
      <c r="E331" s="17"/>
      <c r="F331" s="17"/>
      <c r="G331" s="17"/>
      <c r="H331" s="18" t="s">
        <v>70</v>
      </c>
      <c r="I331" s="17"/>
      <c r="J331" s="17"/>
      <c r="K331" s="17"/>
      <c r="L331" s="14"/>
    </row>
    <row r="332" spans="1:12" ht="21.75" customHeight="1" x14ac:dyDescent="0.15">
      <c r="A332" s="14"/>
      <c r="B332" s="16"/>
      <c r="C332" s="17"/>
      <c r="D332" s="17"/>
      <c r="E332" s="17"/>
      <c r="F332" s="17"/>
      <c r="G332" s="17"/>
      <c r="H332" s="18" t="s">
        <v>70</v>
      </c>
      <c r="I332" s="17"/>
      <c r="J332" s="17"/>
      <c r="K332" s="17"/>
      <c r="L332" s="14"/>
    </row>
    <row r="333" spans="1:12" ht="21.75" customHeight="1" x14ac:dyDescent="0.15">
      <c r="A333" s="14"/>
      <c r="B333" s="16"/>
      <c r="C333" s="17"/>
      <c r="D333" s="17"/>
      <c r="E333" s="17"/>
      <c r="F333" s="17"/>
      <c r="G333" s="17"/>
      <c r="H333" s="18" t="s">
        <v>70</v>
      </c>
      <c r="I333" s="17"/>
      <c r="J333" s="17"/>
      <c r="K333" s="17"/>
      <c r="L333" s="14"/>
    </row>
    <row r="334" spans="1:12" ht="21.75" customHeight="1" x14ac:dyDescent="0.15">
      <c r="A334" s="14"/>
      <c r="B334" s="16"/>
      <c r="C334" s="17"/>
      <c r="D334" s="17"/>
      <c r="E334" s="17"/>
      <c r="F334" s="17"/>
      <c r="G334" s="17"/>
      <c r="H334" s="18" t="s">
        <v>70</v>
      </c>
      <c r="I334" s="17"/>
      <c r="J334" s="17"/>
      <c r="K334" s="17"/>
      <c r="L334" s="14"/>
    </row>
    <row r="335" spans="1:12" ht="21.75" customHeight="1" x14ac:dyDescent="0.15">
      <c r="A335" s="14"/>
      <c r="B335" s="16"/>
      <c r="C335" s="17"/>
      <c r="D335" s="17"/>
      <c r="E335" s="17"/>
      <c r="F335" s="17"/>
      <c r="G335" s="17"/>
      <c r="H335" s="18" t="s">
        <v>70</v>
      </c>
      <c r="I335" s="17"/>
      <c r="J335" s="17"/>
      <c r="K335" s="17"/>
      <c r="L335" s="14"/>
    </row>
    <row r="336" spans="1:12" ht="21.75" customHeight="1" x14ac:dyDescent="0.15">
      <c r="A336" s="14"/>
      <c r="B336" s="16"/>
      <c r="C336" s="17"/>
      <c r="D336" s="17"/>
      <c r="E336" s="17"/>
      <c r="F336" s="17"/>
      <c r="G336" s="17"/>
      <c r="H336" s="18" t="s">
        <v>70</v>
      </c>
      <c r="I336" s="17"/>
      <c r="J336" s="17"/>
      <c r="K336" s="17"/>
      <c r="L336" s="14"/>
    </row>
    <row r="337" spans="1:12" ht="21.75" customHeight="1" x14ac:dyDescent="0.15">
      <c r="A337" s="14"/>
      <c r="B337" s="16"/>
      <c r="C337" s="17"/>
      <c r="D337" s="17"/>
      <c r="E337" s="17"/>
      <c r="F337" s="17"/>
      <c r="G337" s="17"/>
      <c r="H337" s="18" t="s">
        <v>70</v>
      </c>
      <c r="I337" s="17"/>
      <c r="J337" s="17"/>
      <c r="K337" s="17"/>
      <c r="L337" s="14"/>
    </row>
    <row r="338" spans="1:12" ht="21.75" customHeight="1" x14ac:dyDescent="0.15">
      <c r="A338" s="14"/>
      <c r="B338" s="16"/>
      <c r="C338" s="17"/>
      <c r="D338" s="17"/>
      <c r="E338" s="17"/>
      <c r="F338" s="17"/>
      <c r="G338" s="17"/>
      <c r="H338" s="18" t="s">
        <v>70</v>
      </c>
      <c r="I338" s="17"/>
      <c r="J338" s="17"/>
      <c r="K338" s="17"/>
      <c r="L338" s="14"/>
    </row>
    <row r="339" spans="1:12" ht="21.75" customHeight="1" x14ac:dyDescent="0.15">
      <c r="A339" s="14"/>
      <c r="B339" s="16"/>
      <c r="C339" s="17"/>
      <c r="D339" s="17"/>
      <c r="E339" s="17"/>
      <c r="F339" s="17"/>
      <c r="G339" s="17"/>
      <c r="H339" s="18" t="s">
        <v>70</v>
      </c>
      <c r="I339" s="17"/>
      <c r="J339" s="17"/>
      <c r="K339" s="17"/>
      <c r="L339" s="14"/>
    </row>
    <row r="340" spans="1:12" ht="21.75" customHeight="1" x14ac:dyDescent="0.15">
      <c r="A340" s="14"/>
      <c r="B340" s="16"/>
      <c r="C340" s="17"/>
      <c r="D340" s="17"/>
      <c r="E340" s="17"/>
      <c r="F340" s="17"/>
      <c r="G340" s="17"/>
      <c r="H340" s="18" t="s">
        <v>70</v>
      </c>
      <c r="I340" s="17"/>
      <c r="J340" s="17"/>
      <c r="K340" s="17"/>
      <c r="L340" s="14"/>
    </row>
    <row r="341" spans="1:12" ht="21.75" customHeight="1" x14ac:dyDescent="0.15">
      <c r="A341" s="14"/>
      <c r="B341" s="16"/>
      <c r="C341" s="17"/>
      <c r="D341" s="17"/>
      <c r="E341" s="17"/>
      <c r="F341" s="17"/>
      <c r="G341" s="17"/>
      <c r="H341" s="18" t="s">
        <v>70</v>
      </c>
      <c r="I341" s="17"/>
      <c r="J341" s="17"/>
      <c r="K341" s="17"/>
      <c r="L341" s="14"/>
    </row>
    <row r="342" spans="1:12" ht="21.75" customHeight="1" x14ac:dyDescent="0.15">
      <c r="A342" s="14"/>
      <c r="B342" s="16"/>
      <c r="C342" s="17"/>
      <c r="D342" s="17"/>
      <c r="E342" s="17"/>
      <c r="F342" s="17"/>
      <c r="G342" s="17"/>
      <c r="H342" s="18" t="s">
        <v>70</v>
      </c>
      <c r="I342" s="17"/>
      <c r="J342" s="17"/>
      <c r="K342" s="17"/>
      <c r="L342" s="14"/>
    </row>
    <row r="343" spans="1:12" ht="21.75" customHeight="1" x14ac:dyDescent="0.15">
      <c r="A343" s="14"/>
      <c r="B343" s="16"/>
      <c r="C343" s="17"/>
      <c r="D343" s="17"/>
      <c r="E343" s="17"/>
      <c r="F343" s="17"/>
      <c r="G343" s="17"/>
      <c r="H343" s="18" t="s">
        <v>70</v>
      </c>
      <c r="I343" s="17"/>
      <c r="J343" s="17"/>
      <c r="K343" s="17"/>
      <c r="L343" s="14"/>
    </row>
    <row r="344" spans="1:12" ht="21.75" customHeight="1" x14ac:dyDescent="0.15">
      <c r="A344" s="14"/>
      <c r="B344" s="16"/>
      <c r="C344" s="17"/>
      <c r="D344" s="17"/>
      <c r="E344" s="17"/>
      <c r="F344" s="17"/>
      <c r="G344" s="17"/>
      <c r="H344" s="18" t="s">
        <v>70</v>
      </c>
      <c r="I344" s="17"/>
      <c r="J344" s="17"/>
      <c r="K344" s="17"/>
      <c r="L344" s="14"/>
    </row>
    <row r="345" spans="1:12" ht="21.75" customHeight="1" x14ac:dyDescent="0.15">
      <c r="A345" s="14"/>
      <c r="B345" s="16"/>
      <c r="C345" s="17"/>
      <c r="D345" s="17"/>
      <c r="E345" s="17"/>
      <c r="F345" s="17"/>
      <c r="G345" s="17"/>
      <c r="H345" s="18" t="s">
        <v>70</v>
      </c>
      <c r="I345" s="17"/>
      <c r="J345" s="17"/>
      <c r="K345" s="17"/>
      <c r="L345" s="14"/>
    </row>
    <row r="346" spans="1:12" ht="21.75" customHeight="1" x14ac:dyDescent="0.15">
      <c r="A346" s="14"/>
      <c r="B346" s="16"/>
      <c r="C346" s="17"/>
      <c r="D346" s="17"/>
      <c r="E346" s="17"/>
      <c r="F346" s="17"/>
      <c r="G346" s="17"/>
      <c r="H346" s="18" t="s">
        <v>70</v>
      </c>
      <c r="I346" s="17"/>
      <c r="J346" s="17"/>
      <c r="K346" s="17"/>
      <c r="L346" s="14"/>
    </row>
    <row r="347" spans="1:12" ht="21.75" customHeight="1" x14ac:dyDescent="0.15">
      <c r="A347" s="14"/>
      <c r="B347" s="16"/>
      <c r="C347" s="17"/>
      <c r="D347" s="17"/>
      <c r="E347" s="17"/>
      <c r="F347" s="17"/>
      <c r="G347" s="17"/>
      <c r="H347" s="18" t="s">
        <v>70</v>
      </c>
      <c r="I347" s="17"/>
      <c r="J347" s="17"/>
      <c r="K347" s="17"/>
      <c r="L347" s="14"/>
    </row>
    <row r="348" spans="1:12" ht="21.75" customHeight="1" x14ac:dyDescent="0.15">
      <c r="A348" s="14"/>
      <c r="B348" s="16"/>
      <c r="C348" s="17"/>
      <c r="D348" s="17"/>
      <c r="E348" s="17"/>
      <c r="F348" s="17"/>
      <c r="G348" s="17"/>
      <c r="H348" s="18" t="s">
        <v>70</v>
      </c>
      <c r="I348" s="17"/>
      <c r="J348" s="17"/>
      <c r="K348" s="17"/>
      <c r="L348" s="14"/>
    </row>
    <row r="349" spans="1:12" ht="21.75" customHeight="1" x14ac:dyDescent="0.15">
      <c r="A349" s="14"/>
      <c r="B349" s="16"/>
      <c r="C349" s="17"/>
      <c r="D349" s="17"/>
      <c r="E349" s="17"/>
      <c r="F349" s="17"/>
      <c r="G349" s="17"/>
      <c r="H349" s="18" t="s">
        <v>70</v>
      </c>
      <c r="I349" s="17"/>
      <c r="J349" s="17"/>
      <c r="K349" s="17"/>
      <c r="L349" s="14"/>
    </row>
    <row r="350" spans="1:12" ht="21.75" customHeight="1" x14ac:dyDescent="0.15">
      <c r="A350" s="14"/>
      <c r="B350" s="16"/>
      <c r="C350" s="17"/>
      <c r="D350" s="17"/>
      <c r="E350" s="17"/>
      <c r="F350" s="17"/>
      <c r="G350" s="17"/>
      <c r="H350" s="18" t="s">
        <v>70</v>
      </c>
      <c r="I350" s="17"/>
      <c r="J350" s="17"/>
      <c r="K350" s="17"/>
      <c r="L350" s="14"/>
    </row>
    <row r="351" spans="1:12" ht="21.75" customHeight="1" x14ac:dyDescent="0.15">
      <c r="A351" s="14"/>
      <c r="B351" s="16"/>
      <c r="C351" s="17"/>
      <c r="D351" s="17"/>
      <c r="E351" s="17"/>
      <c r="F351" s="17"/>
      <c r="G351" s="17"/>
      <c r="H351" s="18" t="s">
        <v>70</v>
      </c>
      <c r="I351" s="17"/>
      <c r="J351" s="17"/>
      <c r="K351" s="17"/>
      <c r="L351" s="14"/>
    </row>
    <row r="352" spans="1:12" ht="21.75" customHeight="1" x14ac:dyDescent="0.15">
      <c r="A352" s="14"/>
      <c r="B352" s="16"/>
      <c r="C352" s="17"/>
      <c r="D352" s="17"/>
      <c r="E352" s="17"/>
      <c r="F352" s="17"/>
      <c r="G352" s="17"/>
      <c r="H352" s="18" t="s">
        <v>70</v>
      </c>
      <c r="I352" s="17"/>
      <c r="J352" s="17"/>
      <c r="K352" s="17"/>
      <c r="L352" s="14"/>
    </row>
    <row r="353" spans="1:12" ht="21.75" customHeight="1" x14ac:dyDescent="0.15">
      <c r="A353" s="14"/>
      <c r="B353" s="16"/>
      <c r="C353" s="17"/>
      <c r="D353" s="17"/>
      <c r="E353" s="17"/>
      <c r="F353" s="17"/>
      <c r="G353" s="17"/>
      <c r="H353" s="18" t="s">
        <v>70</v>
      </c>
      <c r="I353" s="17"/>
      <c r="J353" s="17"/>
      <c r="K353" s="17"/>
      <c r="L353" s="14"/>
    </row>
    <row r="354" spans="1:12" ht="21.75" customHeight="1" x14ac:dyDescent="0.15">
      <c r="A354" s="14"/>
      <c r="B354" s="16"/>
      <c r="C354" s="17"/>
      <c r="D354" s="17"/>
      <c r="E354" s="17"/>
      <c r="F354" s="17"/>
      <c r="G354" s="17"/>
      <c r="H354" s="18" t="s">
        <v>70</v>
      </c>
      <c r="I354" s="17"/>
      <c r="J354" s="17"/>
      <c r="K354" s="17"/>
      <c r="L354" s="14"/>
    </row>
    <row r="355" spans="1:12" ht="21.75" customHeight="1" x14ac:dyDescent="0.15">
      <c r="A355" s="14"/>
      <c r="B355" s="16"/>
      <c r="C355" s="17"/>
      <c r="D355" s="17"/>
      <c r="E355" s="17"/>
      <c r="F355" s="17"/>
      <c r="G355" s="17"/>
      <c r="H355" s="18" t="s">
        <v>70</v>
      </c>
      <c r="I355" s="17"/>
      <c r="J355" s="17"/>
      <c r="K355" s="17"/>
      <c r="L355" s="14"/>
    </row>
    <row r="356" spans="1:12" ht="21.75" customHeight="1" x14ac:dyDescent="0.15">
      <c r="A356" s="14"/>
      <c r="B356" s="16"/>
      <c r="C356" s="17"/>
      <c r="D356" s="17"/>
      <c r="E356" s="17"/>
      <c r="F356" s="17"/>
      <c r="G356" s="17"/>
      <c r="H356" s="18" t="s">
        <v>70</v>
      </c>
      <c r="I356" s="17"/>
      <c r="J356" s="17"/>
      <c r="K356" s="17"/>
      <c r="L356" s="14"/>
    </row>
    <row r="357" spans="1:12" ht="21.75" customHeight="1" x14ac:dyDescent="0.15">
      <c r="A357" s="14"/>
      <c r="B357" s="16"/>
      <c r="C357" s="17"/>
      <c r="D357" s="17"/>
      <c r="E357" s="17"/>
      <c r="F357" s="17"/>
      <c r="G357" s="17"/>
      <c r="H357" s="18" t="s">
        <v>70</v>
      </c>
      <c r="I357" s="17"/>
      <c r="J357" s="17"/>
      <c r="K357" s="17"/>
      <c r="L357" s="14"/>
    </row>
    <row r="358" spans="1:12" ht="21.75" customHeight="1" x14ac:dyDescent="0.15">
      <c r="A358" s="14"/>
      <c r="B358" s="16"/>
      <c r="C358" s="17"/>
      <c r="D358" s="17"/>
      <c r="E358" s="17"/>
      <c r="F358" s="17"/>
      <c r="G358" s="17"/>
      <c r="H358" s="18" t="s">
        <v>70</v>
      </c>
      <c r="I358" s="17"/>
      <c r="J358" s="17"/>
      <c r="K358" s="17"/>
      <c r="L358" s="14"/>
    </row>
    <row r="359" spans="1:12" ht="21.75" customHeight="1" x14ac:dyDescent="0.15">
      <c r="A359" s="14"/>
      <c r="B359" s="16"/>
      <c r="C359" s="17"/>
      <c r="D359" s="17"/>
      <c r="E359" s="17"/>
      <c r="F359" s="17"/>
      <c r="G359" s="17"/>
      <c r="H359" s="18" t="s">
        <v>70</v>
      </c>
      <c r="I359" s="17"/>
      <c r="J359" s="17"/>
      <c r="K359" s="17"/>
      <c r="L359" s="14"/>
    </row>
    <row r="360" spans="1:12" ht="21.75" customHeight="1" x14ac:dyDescent="0.15">
      <c r="A360" s="14"/>
      <c r="B360" s="16"/>
      <c r="C360" s="17"/>
      <c r="D360" s="17"/>
      <c r="E360" s="17"/>
      <c r="F360" s="17"/>
      <c r="G360" s="17"/>
      <c r="H360" s="18" t="s">
        <v>70</v>
      </c>
      <c r="I360" s="17"/>
      <c r="J360" s="17"/>
      <c r="K360" s="17"/>
      <c r="L360" s="14"/>
    </row>
    <row r="361" spans="1:12" ht="21.75" customHeight="1" x14ac:dyDescent="0.15">
      <c r="A361" s="14"/>
      <c r="B361" s="16"/>
      <c r="C361" s="17"/>
      <c r="D361" s="17"/>
      <c r="E361" s="17"/>
      <c r="F361" s="17"/>
      <c r="G361" s="17"/>
      <c r="H361" s="18" t="s">
        <v>70</v>
      </c>
      <c r="I361" s="17"/>
      <c r="J361" s="17"/>
      <c r="K361" s="17"/>
      <c r="L361" s="14"/>
    </row>
    <row r="362" spans="1:12" ht="21.75" customHeight="1" x14ac:dyDescent="0.15">
      <c r="A362" s="14"/>
      <c r="B362" s="16"/>
      <c r="C362" s="17"/>
      <c r="D362" s="17"/>
      <c r="E362" s="17"/>
      <c r="F362" s="17"/>
      <c r="G362" s="17"/>
      <c r="H362" s="18" t="s">
        <v>70</v>
      </c>
      <c r="I362" s="17"/>
      <c r="J362" s="17"/>
      <c r="K362" s="17"/>
      <c r="L362" s="14"/>
    </row>
    <row r="363" spans="1:12" ht="21.75" customHeight="1" x14ac:dyDescent="0.15">
      <c r="A363" s="14"/>
      <c r="B363" s="16"/>
      <c r="C363" s="17"/>
      <c r="D363" s="17"/>
      <c r="E363" s="17"/>
      <c r="F363" s="17"/>
      <c r="G363" s="17"/>
      <c r="H363" s="18" t="s">
        <v>70</v>
      </c>
      <c r="I363" s="17"/>
      <c r="J363" s="17"/>
      <c r="K363" s="17"/>
      <c r="L363" s="14"/>
    </row>
    <row r="364" spans="1:12" ht="21.75" customHeight="1" x14ac:dyDescent="0.15">
      <c r="A364" s="14"/>
      <c r="B364" s="16"/>
      <c r="C364" s="17"/>
      <c r="D364" s="17"/>
      <c r="E364" s="17"/>
      <c r="F364" s="17"/>
      <c r="G364" s="17"/>
      <c r="H364" s="18" t="s">
        <v>70</v>
      </c>
      <c r="I364" s="17"/>
      <c r="J364" s="17"/>
      <c r="K364" s="17"/>
      <c r="L364" s="14"/>
    </row>
    <row r="365" spans="1:12" ht="21.75" customHeight="1" x14ac:dyDescent="0.15">
      <c r="A365" s="14"/>
      <c r="B365" s="16"/>
      <c r="C365" s="17"/>
      <c r="D365" s="17"/>
      <c r="E365" s="17"/>
      <c r="F365" s="17"/>
      <c r="G365" s="17"/>
      <c r="H365" s="18" t="s">
        <v>70</v>
      </c>
      <c r="I365" s="17"/>
      <c r="J365" s="17"/>
      <c r="K365" s="17"/>
      <c r="L365" s="14"/>
    </row>
    <row r="366" spans="1:12" ht="21.75" customHeight="1" x14ac:dyDescent="0.15">
      <c r="A366" s="14"/>
      <c r="B366" s="16"/>
      <c r="C366" s="17"/>
      <c r="D366" s="17"/>
      <c r="E366" s="17"/>
      <c r="F366" s="17"/>
      <c r="G366" s="17"/>
      <c r="H366" s="18" t="s">
        <v>70</v>
      </c>
      <c r="I366" s="17"/>
      <c r="J366" s="17"/>
      <c r="K366" s="17"/>
      <c r="L366" s="14"/>
    </row>
    <row r="367" spans="1:12" ht="21.75" customHeight="1" x14ac:dyDescent="0.15">
      <c r="A367" s="14"/>
      <c r="B367" s="16"/>
      <c r="C367" s="17"/>
      <c r="D367" s="17"/>
      <c r="E367" s="17"/>
      <c r="F367" s="17"/>
      <c r="G367" s="17"/>
      <c r="H367" s="18" t="s">
        <v>70</v>
      </c>
      <c r="I367" s="17"/>
      <c r="J367" s="17"/>
      <c r="K367" s="17"/>
      <c r="L367" s="14"/>
    </row>
    <row r="368" spans="1:12" ht="21.75" customHeight="1" x14ac:dyDescent="0.15">
      <c r="A368" s="14"/>
      <c r="B368" s="16"/>
      <c r="C368" s="17"/>
      <c r="D368" s="17"/>
      <c r="E368" s="17"/>
      <c r="F368" s="17"/>
      <c r="G368" s="17"/>
      <c r="H368" s="18" t="s">
        <v>70</v>
      </c>
      <c r="I368" s="17"/>
      <c r="J368" s="17"/>
      <c r="K368" s="17"/>
      <c r="L368" s="14"/>
    </row>
    <row r="369" spans="1:12" ht="21.75" customHeight="1" x14ac:dyDescent="0.15">
      <c r="A369" s="14"/>
      <c r="B369" s="16"/>
      <c r="C369" s="17"/>
      <c r="D369" s="17"/>
      <c r="E369" s="17"/>
      <c r="F369" s="17"/>
      <c r="G369" s="17"/>
      <c r="H369" s="18" t="s">
        <v>70</v>
      </c>
      <c r="I369" s="17"/>
      <c r="J369" s="17"/>
      <c r="K369" s="17"/>
      <c r="L369" s="14"/>
    </row>
    <row r="370" spans="1:12" ht="21.75" customHeight="1" x14ac:dyDescent="0.15">
      <c r="A370" s="14"/>
      <c r="B370" s="16"/>
      <c r="C370" s="17"/>
      <c r="D370" s="17"/>
      <c r="E370" s="17"/>
      <c r="F370" s="17"/>
      <c r="G370" s="17"/>
      <c r="H370" s="18" t="s">
        <v>70</v>
      </c>
      <c r="I370" s="17"/>
      <c r="J370" s="17"/>
      <c r="K370" s="17"/>
      <c r="L370" s="14"/>
    </row>
    <row r="371" spans="1:12" ht="21.75" customHeight="1" x14ac:dyDescent="0.15">
      <c r="A371" s="14"/>
      <c r="B371" s="16"/>
      <c r="C371" s="17"/>
      <c r="D371" s="17"/>
      <c r="E371" s="17"/>
      <c r="F371" s="17"/>
      <c r="G371" s="17"/>
      <c r="H371" s="18" t="s">
        <v>70</v>
      </c>
      <c r="I371" s="17"/>
      <c r="J371" s="17"/>
      <c r="K371" s="17"/>
      <c r="L371" s="14"/>
    </row>
    <row r="372" spans="1:12" ht="21.75" customHeight="1" x14ac:dyDescent="0.15">
      <c r="A372" s="14"/>
      <c r="B372" s="16"/>
      <c r="C372" s="17"/>
      <c r="D372" s="17"/>
      <c r="E372" s="17"/>
      <c r="F372" s="17"/>
      <c r="G372" s="17"/>
      <c r="H372" s="18" t="s">
        <v>70</v>
      </c>
      <c r="I372" s="17"/>
      <c r="J372" s="17"/>
      <c r="K372" s="17"/>
      <c r="L372" s="14"/>
    </row>
    <row r="373" spans="1:12" ht="21.75" customHeight="1" x14ac:dyDescent="0.15">
      <c r="A373" s="14"/>
      <c r="B373" s="16"/>
      <c r="C373" s="17"/>
      <c r="D373" s="17"/>
      <c r="E373" s="17"/>
      <c r="F373" s="17"/>
      <c r="G373" s="17"/>
      <c r="H373" s="18" t="s">
        <v>70</v>
      </c>
      <c r="I373" s="17"/>
      <c r="J373" s="17"/>
      <c r="K373" s="17"/>
      <c r="L373" s="14"/>
    </row>
    <row r="374" spans="1:12" ht="21.75" customHeight="1" x14ac:dyDescent="0.15">
      <c r="A374" s="14"/>
      <c r="B374" s="16"/>
      <c r="C374" s="17"/>
      <c r="D374" s="17"/>
      <c r="E374" s="17"/>
      <c r="F374" s="17"/>
      <c r="G374" s="17"/>
      <c r="H374" s="18" t="s">
        <v>70</v>
      </c>
      <c r="I374" s="17"/>
      <c r="J374" s="17"/>
      <c r="K374" s="17"/>
      <c r="L374" s="14"/>
    </row>
    <row r="375" spans="1:12" ht="21.75" customHeight="1" x14ac:dyDescent="0.15">
      <c r="A375" s="14"/>
      <c r="B375" s="16"/>
      <c r="C375" s="17"/>
      <c r="D375" s="17"/>
      <c r="E375" s="17"/>
      <c r="F375" s="17"/>
      <c r="G375" s="17"/>
      <c r="H375" s="18" t="s">
        <v>70</v>
      </c>
      <c r="I375" s="17"/>
      <c r="J375" s="17"/>
      <c r="K375" s="17"/>
      <c r="L375" s="14"/>
    </row>
    <row r="376" spans="1:12" ht="21.75" customHeight="1" x14ac:dyDescent="0.15">
      <c r="A376" s="14"/>
      <c r="B376" s="16"/>
      <c r="C376" s="17"/>
      <c r="D376" s="17"/>
      <c r="E376" s="17"/>
      <c r="F376" s="17"/>
      <c r="G376" s="17"/>
      <c r="H376" s="18" t="s">
        <v>70</v>
      </c>
      <c r="I376" s="17"/>
      <c r="J376" s="17"/>
      <c r="K376" s="17"/>
      <c r="L376" s="14"/>
    </row>
    <row r="377" spans="1:12" ht="21.75" customHeight="1" x14ac:dyDescent="0.15">
      <c r="A377" s="14"/>
      <c r="B377" s="16"/>
      <c r="C377" s="17"/>
      <c r="D377" s="17"/>
      <c r="E377" s="17"/>
      <c r="F377" s="17"/>
      <c r="G377" s="17"/>
      <c r="H377" s="18" t="s">
        <v>70</v>
      </c>
      <c r="I377" s="17"/>
      <c r="J377" s="17"/>
      <c r="K377" s="17"/>
      <c r="L377" s="14"/>
    </row>
    <row r="378" spans="1:12" ht="21.75" customHeight="1" x14ac:dyDescent="0.15">
      <c r="A378" s="14"/>
      <c r="B378" s="16"/>
      <c r="C378" s="17"/>
      <c r="D378" s="17"/>
      <c r="E378" s="17"/>
      <c r="F378" s="17"/>
      <c r="G378" s="17"/>
      <c r="H378" s="18" t="s">
        <v>70</v>
      </c>
      <c r="I378" s="17"/>
      <c r="J378" s="17"/>
      <c r="K378" s="17"/>
      <c r="L378" s="14"/>
    </row>
    <row r="379" spans="1:12" ht="21.75" customHeight="1" x14ac:dyDescent="0.15">
      <c r="A379" s="14"/>
      <c r="B379" s="16"/>
      <c r="C379" s="17"/>
      <c r="D379" s="17"/>
      <c r="E379" s="17"/>
      <c r="F379" s="17"/>
      <c r="G379" s="17"/>
      <c r="H379" s="18" t="s">
        <v>70</v>
      </c>
      <c r="I379" s="17"/>
      <c r="J379" s="17"/>
      <c r="K379" s="17"/>
      <c r="L379" s="14"/>
    </row>
    <row r="380" spans="1:12" ht="21.75" customHeight="1" x14ac:dyDescent="0.15">
      <c r="A380" s="14"/>
      <c r="B380" s="16"/>
      <c r="C380" s="17"/>
      <c r="D380" s="17"/>
      <c r="E380" s="17"/>
      <c r="F380" s="17"/>
      <c r="G380" s="17"/>
      <c r="H380" s="18" t="s">
        <v>70</v>
      </c>
      <c r="I380" s="17"/>
      <c r="J380" s="17"/>
      <c r="K380" s="17"/>
      <c r="L380" s="14"/>
    </row>
    <row r="381" spans="1:12" ht="21.75" customHeight="1" x14ac:dyDescent="0.15">
      <c r="A381" s="14"/>
      <c r="B381" s="16"/>
      <c r="C381" s="17"/>
      <c r="D381" s="17"/>
      <c r="E381" s="17"/>
      <c r="F381" s="17"/>
      <c r="G381" s="17"/>
      <c r="H381" s="18" t="s">
        <v>70</v>
      </c>
      <c r="I381" s="17"/>
      <c r="J381" s="17"/>
      <c r="K381" s="17"/>
      <c r="L381" s="14"/>
    </row>
    <row r="382" spans="1:12" ht="21.75" customHeight="1" x14ac:dyDescent="0.15">
      <c r="A382" s="14"/>
      <c r="B382" s="16"/>
      <c r="C382" s="17"/>
      <c r="D382" s="17"/>
      <c r="E382" s="17"/>
      <c r="F382" s="17"/>
      <c r="G382" s="17"/>
      <c r="H382" s="18" t="s">
        <v>70</v>
      </c>
      <c r="I382" s="17"/>
      <c r="J382" s="17"/>
      <c r="K382" s="17"/>
      <c r="L382" s="14"/>
    </row>
    <row r="383" spans="1:12" ht="21.75" customHeight="1" x14ac:dyDescent="0.15">
      <c r="A383" s="14"/>
      <c r="B383" s="16"/>
      <c r="C383" s="17"/>
      <c r="D383" s="17"/>
      <c r="E383" s="17"/>
      <c r="F383" s="17"/>
      <c r="G383" s="17"/>
      <c r="H383" s="18" t="s">
        <v>70</v>
      </c>
      <c r="I383" s="17"/>
      <c r="J383" s="17"/>
      <c r="K383" s="17"/>
      <c r="L383" s="14"/>
    </row>
    <row r="384" spans="1:12" ht="21.75" customHeight="1" x14ac:dyDescent="0.15">
      <c r="A384" s="14"/>
      <c r="B384" s="16"/>
      <c r="C384" s="17"/>
      <c r="D384" s="17"/>
      <c r="E384" s="17"/>
      <c r="F384" s="17"/>
      <c r="G384" s="17"/>
      <c r="H384" s="18" t="s">
        <v>70</v>
      </c>
      <c r="I384" s="17"/>
      <c r="J384" s="17"/>
      <c r="K384" s="17"/>
      <c r="L384" s="14"/>
    </row>
    <row r="385" spans="1:12" ht="21.75" customHeight="1" x14ac:dyDescent="0.15">
      <c r="A385" s="14"/>
      <c r="B385" s="16"/>
      <c r="C385" s="17"/>
      <c r="D385" s="17"/>
      <c r="E385" s="17"/>
      <c r="F385" s="17"/>
      <c r="G385" s="17"/>
      <c r="H385" s="18" t="s">
        <v>70</v>
      </c>
      <c r="I385" s="17"/>
      <c r="J385" s="17"/>
      <c r="K385" s="17"/>
      <c r="L385" s="14"/>
    </row>
    <row r="386" spans="1:12" ht="21.75" customHeight="1" x14ac:dyDescent="0.15">
      <c r="A386" s="14"/>
      <c r="B386" s="16"/>
      <c r="C386" s="17"/>
      <c r="D386" s="17"/>
      <c r="E386" s="17"/>
      <c r="F386" s="17"/>
      <c r="G386" s="17"/>
      <c r="H386" s="18" t="s">
        <v>70</v>
      </c>
      <c r="I386" s="17"/>
      <c r="J386" s="17"/>
      <c r="K386" s="17"/>
      <c r="L386" s="14"/>
    </row>
    <row r="387" spans="1:12" ht="21.75" customHeight="1" x14ac:dyDescent="0.15">
      <c r="A387" s="14"/>
      <c r="B387" s="16"/>
      <c r="C387" s="17"/>
      <c r="D387" s="17"/>
      <c r="E387" s="17"/>
      <c r="F387" s="17"/>
      <c r="G387" s="17"/>
      <c r="H387" s="18" t="s">
        <v>70</v>
      </c>
      <c r="I387" s="17"/>
      <c r="J387" s="17"/>
      <c r="K387" s="17"/>
      <c r="L387" s="14"/>
    </row>
    <row r="388" spans="1:12" ht="21.75" customHeight="1" x14ac:dyDescent="0.15">
      <c r="A388" s="14"/>
      <c r="B388" s="16"/>
      <c r="C388" s="17"/>
      <c r="D388" s="17"/>
      <c r="E388" s="17"/>
      <c r="F388" s="17"/>
      <c r="G388" s="17"/>
      <c r="H388" s="18" t="s">
        <v>70</v>
      </c>
      <c r="I388" s="17"/>
      <c r="J388" s="17"/>
      <c r="K388" s="17"/>
      <c r="L388" s="14"/>
    </row>
    <row r="389" spans="1:12" ht="21.75" customHeight="1" x14ac:dyDescent="0.15">
      <c r="A389" s="14"/>
      <c r="B389" s="16"/>
      <c r="C389" s="17"/>
      <c r="D389" s="17"/>
      <c r="E389" s="17"/>
      <c r="F389" s="17"/>
      <c r="G389" s="17"/>
      <c r="H389" s="18" t="s">
        <v>70</v>
      </c>
      <c r="I389" s="17"/>
      <c r="J389" s="17"/>
      <c r="K389" s="17"/>
      <c r="L389" s="14"/>
    </row>
    <row r="390" spans="1:12" ht="21.75" customHeight="1" x14ac:dyDescent="0.15">
      <c r="A390" s="14"/>
      <c r="B390" s="16"/>
      <c r="C390" s="17"/>
      <c r="D390" s="17"/>
      <c r="E390" s="17"/>
      <c r="F390" s="17"/>
      <c r="G390" s="17"/>
      <c r="H390" s="18" t="s">
        <v>70</v>
      </c>
      <c r="I390" s="17"/>
      <c r="J390" s="17"/>
      <c r="K390" s="17"/>
      <c r="L390" s="14"/>
    </row>
    <row r="391" spans="1:12" ht="21.75" customHeight="1" x14ac:dyDescent="0.15">
      <c r="A391" s="14"/>
      <c r="B391" s="16"/>
      <c r="C391" s="17"/>
      <c r="D391" s="17"/>
      <c r="E391" s="17"/>
      <c r="F391" s="17"/>
      <c r="G391" s="17"/>
      <c r="H391" s="18" t="s">
        <v>70</v>
      </c>
      <c r="I391" s="17"/>
      <c r="J391" s="17"/>
      <c r="K391" s="17"/>
      <c r="L391" s="14"/>
    </row>
    <row r="392" spans="1:12" ht="21.75" customHeight="1" x14ac:dyDescent="0.15">
      <c r="A392" s="14"/>
      <c r="B392" s="16"/>
      <c r="C392" s="17"/>
      <c r="D392" s="17"/>
      <c r="E392" s="17"/>
      <c r="F392" s="17"/>
      <c r="G392" s="17"/>
      <c r="H392" s="18" t="s">
        <v>70</v>
      </c>
      <c r="I392" s="17"/>
      <c r="J392" s="17"/>
      <c r="K392" s="17"/>
      <c r="L392" s="14"/>
    </row>
    <row r="393" spans="1:12" ht="21.75" customHeight="1" x14ac:dyDescent="0.15">
      <c r="A393" s="14"/>
      <c r="B393" s="16"/>
      <c r="C393" s="17"/>
      <c r="D393" s="17"/>
      <c r="E393" s="17"/>
      <c r="F393" s="17"/>
      <c r="G393" s="17"/>
      <c r="H393" s="18" t="s">
        <v>70</v>
      </c>
      <c r="I393" s="17"/>
      <c r="J393" s="17"/>
      <c r="K393" s="17"/>
      <c r="L393" s="14"/>
    </row>
    <row r="394" spans="1:12" ht="21.75" customHeight="1" x14ac:dyDescent="0.15">
      <c r="A394" s="14"/>
      <c r="B394" s="16"/>
      <c r="C394" s="17"/>
      <c r="D394" s="17"/>
      <c r="E394" s="17"/>
      <c r="F394" s="17"/>
      <c r="G394" s="17"/>
      <c r="H394" s="18" t="s">
        <v>70</v>
      </c>
      <c r="I394" s="17"/>
      <c r="J394" s="17"/>
      <c r="K394" s="17"/>
      <c r="L394" s="14"/>
    </row>
    <row r="395" spans="1:12" ht="21.75" customHeight="1" x14ac:dyDescent="0.15">
      <c r="A395" s="14"/>
      <c r="B395" s="16"/>
      <c r="C395" s="17"/>
      <c r="D395" s="17"/>
      <c r="E395" s="17"/>
      <c r="F395" s="17"/>
      <c r="G395" s="17"/>
      <c r="H395" s="18" t="s">
        <v>70</v>
      </c>
      <c r="I395" s="17"/>
      <c r="J395" s="17"/>
      <c r="K395" s="17"/>
      <c r="L395" s="14"/>
    </row>
    <row r="396" spans="1:12" ht="21.75" customHeight="1" x14ac:dyDescent="0.15">
      <c r="A396" s="14"/>
      <c r="B396" s="16"/>
      <c r="C396" s="17"/>
      <c r="D396" s="17"/>
      <c r="E396" s="17"/>
      <c r="F396" s="17"/>
      <c r="G396" s="17"/>
      <c r="H396" s="18" t="s">
        <v>70</v>
      </c>
      <c r="I396" s="17"/>
      <c r="J396" s="17"/>
      <c r="K396" s="17"/>
      <c r="L396" s="14"/>
    </row>
    <row r="397" spans="1:12" ht="21.75" customHeight="1" x14ac:dyDescent="0.15">
      <c r="A397" s="14"/>
      <c r="B397" s="16"/>
      <c r="C397" s="17"/>
      <c r="D397" s="17"/>
      <c r="E397" s="17"/>
      <c r="F397" s="17"/>
      <c r="G397" s="17"/>
      <c r="H397" s="18" t="s">
        <v>70</v>
      </c>
      <c r="I397" s="17"/>
      <c r="J397" s="17"/>
      <c r="K397" s="17"/>
      <c r="L397" s="14"/>
    </row>
    <row r="398" spans="1:12" ht="21.75" customHeight="1" x14ac:dyDescent="0.15">
      <c r="A398" s="14"/>
      <c r="B398" s="16"/>
      <c r="C398" s="17"/>
      <c r="D398" s="17"/>
      <c r="E398" s="17"/>
      <c r="F398" s="17"/>
      <c r="G398" s="17"/>
      <c r="H398" s="18" t="s">
        <v>70</v>
      </c>
      <c r="I398" s="17"/>
      <c r="J398" s="17"/>
      <c r="K398" s="17"/>
      <c r="L398" s="14"/>
    </row>
    <row r="399" spans="1:12" ht="21.75" customHeight="1" x14ac:dyDescent="0.15">
      <c r="A399" s="14"/>
      <c r="B399" s="16"/>
      <c r="C399" s="17"/>
      <c r="D399" s="17"/>
      <c r="E399" s="17"/>
      <c r="F399" s="17"/>
      <c r="G399" s="17"/>
      <c r="H399" s="18" t="s">
        <v>70</v>
      </c>
      <c r="I399" s="17"/>
      <c r="J399" s="17"/>
      <c r="K399" s="17"/>
      <c r="L399" s="14"/>
    </row>
    <row r="400" spans="1:12" ht="21.75" customHeight="1" x14ac:dyDescent="0.15">
      <c r="A400" s="14"/>
      <c r="B400" s="16"/>
      <c r="C400" s="17"/>
      <c r="D400" s="17"/>
      <c r="E400" s="17"/>
      <c r="F400" s="17"/>
      <c r="G400" s="17"/>
      <c r="H400" s="18" t="s">
        <v>70</v>
      </c>
      <c r="I400" s="17"/>
      <c r="J400" s="17"/>
      <c r="K400" s="17"/>
      <c r="L400" s="14"/>
    </row>
    <row r="401" spans="1:12" ht="21.75" customHeight="1" x14ac:dyDescent="0.15">
      <c r="A401" s="14"/>
      <c r="B401" s="16"/>
      <c r="C401" s="17"/>
      <c r="D401" s="17"/>
      <c r="E401" s="17"/>
      <c r="F401" s="17"/>
      <c r="G401" s="17"/>
      <c r="H401" s="18" t="s">
        <v>70</v>
      </c>
      <c r="I401" s="17"/>
      <c r="J401" s="17"/>
      <c r="K401" s="17"/>
      <c r="L401" s="14"/>
    </row>
    <row r="402" spans="1:12" ht="21.75" customHeight="1" x14ac:dyDescent="0.15">
      <c r="A402" s="14"/>
      <c r="B402" s="16"/>
      <c r="C402" s="17"/>
      <c r="D402" s="17"/>
      <c r="E402" s="17"/>
      <c r="F402" s="17"/>
      <c r="G402" s="17"/>
      <c r="H402" s="18" t="s">
        <v>70</v>
      </c>
      <c r="I402" s="17"/>
      <c r="J402" s="17"/>
      <c r="K402" s="17"/>
      <c r="L402" s="14"/>
    </row>
    <row r="403" spans="1:12" ht="21.75" customHeight="1" x14ac:dyDescent="0.15">
      <c r="A403" s="14"/>
      <c r="B403" s="16"/>
      <c r="C403" s="17"/>
      <c r="D403" s="17"/>
      <c r="E403" s="17"/>
      <c r="F403" s="17"/>
      <c r="G403" s="17"/>
      <c r="H403" s="18" t="s">
        <v>70</v>
      </c>
      <c r="I403" s="17"/>
      <c r="J403" s="17"/>
      <c r="K403" s="17"/>
      <c r="L403" s="14"/>
    </row>
    <row r="404" spans="1:12" ht="21.75" customHeight="1" x14ac:dyDescent="0.15">
      <c r="A404" s="14"/>
      <c r="B404" s="16"/>
      <c r="C404" s="17"/>
      <c r="D404" s="17"/>
      <c r="E404" s="17"/>
      <c r="F404" s="17"/>
      <c r="G404" s="17"/>
      <c r="H404" s="18" t="s">
        <v>70</v>
      </c>
      <c r="I404" s="17"/>
      <c r="J404" s="17"/>
      <c r="K404" s="17"/>
      <c r="L404" s="14"/>
    </row>
    <row r="405" spans="1:12" ht="21.75" customHeight="1" x14ac:dyDescent="0.15">
      <c r="A405" s="14"/>
      <c r="B405" s="16"/>
      <c r="C405" s="17"/>
      <c r="D405" s="17"/>
      <c r="E405" s="17"/>
      <c r="F405" s="17"/>
      <c r="G405" s="17"/>
      <c r="H405" s="18" t="s">
        <v>70</v>
      </c>
      <c r="I405" s="17"/>
      <c r="J405" s="17"/>
      <c r="K405" s="17"/>
      <c r="L405" s="14"/>
    </row>
    <row r="406" spans="1:12" ht="21.75" customHeight="1" x14ac:dyDescent="0.15">
      <c r="A406" s="14"/>
      <c r="B406" s="16"/>
      <c r="C406" s="17"/>
      <c r="D406" s="17"/>
      <c r="E406" s="17"/>
      <c r="F406" s="17"/>
      <c r="G406" s="17"/>
      <c r="H406" s="18" t="s">
        <v>70</v>
      </c>
      <c r="I406" s="17"/>
      <c r="J406" s="17"/>
      <c r="K406" s="17"/>
      <c r="L406" s="14"/>
    </row>
    <row r="407" spans="1:12" ht="21.75" customHeight="1" x14ac:dyDescent="0.15">
      <c r="A407" s="14"/>
      <c r="B407" s="16"/>
      <c r="C407" s="17"/>
      <c r="D407" s="17"/>
      <c r="E407" s="17"/>
      <c r="F407" s="17"/>
      <c r="G407" s="17"/>
      <c r="H407" s="18" t="s">
        <v>70</v>
      </c>
      <c r="I407" s="17"/>
      <c r="J407" s="17"/>
      <c r="K407" s="17"/>
      <c r="L407" s="14"/>
    </row>
    <row r="408" spans="1:12" ht="21.75" customHeight="1" x14ac:dyDescent="0.15">
      <c r="A408" s="14"/>
      <c r="B408" s="16"/>
      <c r="C408" s="17"/>
      <c r="D408" s="17"/>
      <c r="E408" s="17"/>
      <c r="F408" s="17"/>
      <c r="G408" s="17"/>
      <c r="H408" s="18" t="s">
        <v>70</v>
      </c>
      <c r="I408" s="17"/>
      <c r="J408" s="17"/>
      <c r="K408" s="17"/>
      <c r="L408" s="14"/>
    </row>
    <row r="409" spans="1:12" ht="21.75" customHeight="1" x14ac:dyDescent="0.15">
      <c r="A409" s="14"/>
      <c r="B409" s="16"/>
      <c r="C409" s="17"/>
      <c r="D409" s="17"/>
      <c r="E409" s="17"/>
      <c r="F409" s="17"/>
      <c r="G409" s="17"/>
      <c r="H409" s="18" t="s">
        <v>70</v>
      </c>
      <c r="I409" s="17"/>
      <c r="J409" s="17"/>
      <c r="K409" s="17"/>
      <c r="L409" s="14"/>
    </row>
    <row r="410" spans="1:12" ht="21.75" customHeight="1" x14ac:dyDescent="0.15">
      <c r="A410" s="14"/>
      <c r="B410" s="16"/>
      <c r="C410" s="17"/>
      <c r="D410" s="17"/>
      <c r="E410" s="17"/>
      <c r="F410" s="17"/>
      <c r="G410" s="17"/>
      <c r="H410" s="18" t="s">
        <v>70</v>
      </c>
      <c r="I410" s="17"/>
      <c r="J410" s="17"/>
      <c r="K410" s="17"/>
      <c r="L410" s="14"/>
    </row>
    <row r="411" spans="1:12" ht="21.75" customHeight="1" x14ac:dyDescent="0.15">
      <c r="A411" s="14"/>
      <c r="B411" s="16"/>
      <c r="C411" s="17"/>
      <c r="D411" s="17"/>
      <c r="E411" s="17"/>
      <c r="F411" s="17"/>
      <c r="G411" s="17"/>
      <c r="H411" s="18" t="s">
        <v>70</v>
      </c>
      <c r="I411" s="17"/>
      <c r="J411" s="17"/>
      <c r="K411" s="17"/>
      <c r="L411" s="14"/>
    </row>
    <row r="412" spans="1:12" ht="21.75" customHeight="1" x14ac:dyDescent="0.15">
      <c r="A412" s="14"/>
      <c r="B412" s="16"/>
      <c r="C412" s="17"/>
      <c r="D412" s="17"/>
      <c r="E412" s="17"/>
      <c r="F412" s="17"/>
      <c r="G412" s="17"/>
      <c r="H412" s="18" t="s">
        <v>70</v>
      </c>
      <c r="I412" s="17"/>
      <c r="J412" s="17"/>
      <c r="K412" s="17"/>
      <c r="L412" s="14"/>
    </row>
    <row r="413" spans="1:12" ht="21.75" customHeight="1" x14ac:dyDescent="0.15">
      <c r="A413" s="14"/>
      <c r="B413" s="16"/>
      <c r="C413" s="17"/>
      <c r="D413" s="17"/>
      <c r="E413" s="17"/>
      <c r="F413" s="17"/>
      <c r="G413" s="17"/>
      <c r="H413" s="18" t="s">
        <v>70</v>
      </c>
      <c r="I413" s="17"/>
      <c r="J413" s="17"/>
      <c r="K413" s="17"/>
      <c r="L413" s="14"/>
    </row>
    <row r="414" spans="1:12" ht="21.75" customHeight="1" x14ac:dyDescent="0.15">
      <c r="A414" s="14"/>
      <c r="B414" s="16"/>
      <c r="C414" s="17"/>
      <c r="D414" s="17"/>
      <c r="E414" s="17"/>
      <c r="F414" s="17"/>
      <c r="G414" s="17"/>
      <c r="H414" s="18" t="s">
        <v>70</v>
      </c>
      <c r="I414" s="17"/>
      <c r="J414" s="17"/>
      <c r="K414" s="17"/>
      <c r="L414" s="14"/>
    </row>
    <row r="415" spans="1:12" ht="21.75" customHeight="1" x14ac:dyDescent="0.15">
      <c r="A415" s="14"/>
      <c r="B415" s="16"/>
      <c r="C415" s="17"/>
      <c r="D415" s="17"/>
      <c r="E415" s="17"/>
      <c r="F415" s="17"/>
      <c r="G415" s="17"/>
      <c r="H415" s="18" t="s">
        <v>70</v>
      </c>
      <c r="I415" s="17"/>
      <c r="J415" s="17"/>
      <c r="K415" s="17"/>
      <c r="L415" s="14"/>
    </row>
    <row r="416" spans="1:12" ht="21.75" customHeight="1" x14ac:dyDescent="0.15">
      <c r="A416" s="14"/>
      <c r="B416" s="16"/>
      <c r="C416" s="17"/>
      <c r="D416" s="17"/>
      <c r="E416" s="17"/>
      <c r="F416" s="17"/>
      <c r="G416" s="17"/>
      <c r="H416" s="18" t="s">
        <v>70</v>
      </c>
      <c r="I416" s="17"/>
      <c r="J416" s="17"/>
      <c r="K416" s="17"/>
      <c r="L416" s="14"/>
    </row>
    <row r="417" spans="1:12" ht="21.75" customHeight="1" x14ac:dyDescent="0.15">
      <c r="A417" s="14"/>
      <c r="B417" s="16"/>
      <c r="C417" s="17"/>
      <c r="D417" s="17"/>
      <c r="E417" s="17"/>
      <c r="F417" s="17"/>
      <c r="G417" s="17"/>
      <c r="H417" s="18" t="s">
        <v>70</v>
      </c>
      <c r="I417" s="17"/>
      <c r="J417" s="17"/>
      <c r="K417" s="17"/>
      <c r="L417" s="14"/>
    </row>
    <row r="418" spans="1:12" ht="21.75" customHeight="1" x14ac:dyDescent="0.15">
      <c r="A418" s="14"/>
      <c r="B418" s="16"/>
      <c r="C418" s="17"/>
      <c r="D418" s="17"/>
      <c r="E418" s="17"/>
      <c r="F418" s="17"/>
      <c r="G418" s="17"/>
      <c r="H418" s="18" t="s">
        <v>70</v>
      </c>
      <c r="I418" s="17"/>
      <c r="J418" s="17"/>
      <c r="K418" s="17"/>
      <c r="L418" s="14"/>
    </row>
    <row r="419" spans="1:12" ht="21.75" customHeight="1" x14ac:dyDescent="0.15">
      <c r="A419" s="14"/>
      <c r="B419" s="16"/>
      <c r="C419" s="17"/>
      <c r="D419" s="17"/>
      <c r="E419" s="17"/>
      <c r="F419" s="17"/>
      <c r="G419" s="17"/>
      <c r="H419" s="18" t="s">
        <v>70</v>
      </c>
      <c r="I419" s="17"/>
      <c r="J419" s="17"/>
      <c r="K419" s="17"/>
      <c r="L419" s="14"/>
    </row>
    <row r="420" spans="1:12" ht="21.75" customHeight="1" x14ac:dyDescent="0.15">
      <c r="A420" s="14"/>
      <c r="B420" s="16"/>
      <c r="C420" s="17"/>
      <c r="D420" s="17"/>
      <c r="E420" s="17"/>
      <c r="F420" s="17"/>
      <c r="G420" s="17"/>
      <c r="H420" s="18" t="s">
        <v>70</v>
      </c>
      <c r="I420" s="17"/>
      <c r="J420" s="17"/>
      <c r="K420" s="17"/>
      <c r="L420" s="14"/>
    </row>
    <row r="421" spans="1:12" ht="21.75" customHeight="1" x14ac:dyDescent="0.15">
      <c r="A421" s="14"/>
      <c r="B421" s="16"/>
      <c r="C421" s="17"/>
      <c r="D421" s="17"/>
      <c r="E421" s="17"/>
      <c r="F421" s="17"/>
      <c r="G421" s="17"/>
      <c r="H421" s="18" t="s">
        <v>70</v>
      </c>
      <c r="I421" s="17"/>
      <c r="J421" s="17"/>
      <c r="K421" s="17"/>
      <c r="L421" s="14"/>
    </row>
    <row r="422" spans="1:12" ht="21.75" customHeight="1" x14ac:dyDescent="0.15">
      <c r="A422" s="14"/>
      <c r="B422" s="16"/>
      <c r="C422" s="17"/>
      <c r="D422" s="17"/>
      <c r="E422" s="17"/>
      <c r="F422" s="17"/>
      <c r="G422" s="17"/>
      <c r="H422" s="18" t="s">
        <v>70</v>
      </c>
      <c r="I422" s="17"/>
      <c r="J422" s="17"/>
      <c r="K422" s="17"/>
      <c r="L422" s="14"/>
    </row>
    <row r="423" spans="1:12" ht="21.75" customHeight="1" x14ac:dyDescent="0.15">
      <c r="A423" s="14"/>
      <c r="B423" s="16"/>
      <c r="C423" s="17"/>
      <c r="D423" s="17"/>
      <c r="E423" s="17"/>
      <c r="F423" s="17"/>
      <c r="G423" s="17"/>
      <c r="H423" s="18" t="s">
        <v>70</v>
      </c>
      <c r="I423" s="17"/>
      <c r="J423" s="17"/>
      <c r="K423" s="17"/>
      <c r="L423" s="14"/>
    </row>
    <row r="424" spans="1:12" ht="21.75" customHeight="1" x14ac:dyDescent="0.15">
      <c r="A424" s="14"/>
      <c r="B424" s="16"/>
      <c r="C424" s="17"/>
      <c r="D424" s="17"/>
      <c r="E424" s="17"/>
      <c r="F424" s="17"/>
      <c r="G424" s="17"/>
      <c r="H424" s="18" t="s">
        <v>70</v>
      </c>
      <c r="I424" s="17"/>
      <c r="J424" s="17"/>
      <c r="K424" s="17"/>
      <c r="L424" s="14"/>
    </row>
    <row r="425" spans="1:12" ht="21.75" customHeight="1" x14ac:dyDescent="0.15">
      <c r="A425" s="14"/>
      <c r="B425" s="16"/>
      <c r="C425" s="17"/>
      <c r="D425" s="17"/>
      <c r="E425" s="17"/>
      <c r="F425" s="17"/>
      <c r="G425" s="17"/>
      <c r="H425" s="18" t="s">
        <v>70</v>
      </c>
      <c r="I425" s="17"/>
      <c r="J425" s="17"/>
      <c r="K425" s="17"/>
      <c r="L425" s="14"/>
    </row>
    <row r="426" spans="1:12" ht="21.75" customHeight="1" x14ac:dyDescent="0.15">
      <c r="A426" s="14"/>
      <c r="B426" s="16"/>
      <c r="C426" s="17"/>
      <c r="D426" s="17"/>
      <c r="E426" s="17"/>
      <c r="F426" s="17"/>
      <c r="G426" s="17"/>
      <c r="H426" s="18" t="s">
        <v>70</v>
      </c>
      <c r="I426" s="17"/>
      <c r="J426" s="17"/>
      <c r="K426" s="17"/>
      <c r="L426" s="14"/>
    </row>
    <row r="427" spans="1:12" ht="21.75" customHeight="1" x14ac:dyDescent="0.15">
      <c r="A427" s="14"/>
      <c r="B427" s="16"/>
      <c r="C427" s="17"/>
      <c r="D427" s="17"/>
      <c r="E427" s="17"/>
      <c r="F427" s="17"/>
      <c r="G427" s="17"/>
      <c r="H427" s="18" t="s">
        <v>70</v>
      </c>
      <c r="I427" s="17"/>
      <c r="J427" s="17"/>
      <c r="K427" s="17"/>
      <c r="L427" s="14"/>
    </row>
    <row r="428" spans="1:12" ht="21.75" customHeight="1" x14ac:dyDescent="0.15">
      <c r="A428" s="14"/>
      <c r="B428" s="16"/>
      <c r="C428" s="17"/>
      <c r="D428" s="17"/>
      <c r="E428" s="17"/>
      <c r="F428" s="17"/>
      <c r="G428" s="17"/>
      <c r="H428" s="18" t="s">
        <v>70</v>
      </c>
      <c r="I428" s="17"/>
      <c r="J428" s="17"/>
      <c r="K428" s="17"/>
      <c r="L428" s="14"/>
    </row>
    <row r="429" spans="1:12" ht="21.75" customHeight="1" x14ac:dyDescent="0.15">
      <c r="A429" s="14"/>
      <c r="B429" s="16"/>
      <c r="C429" s="17"/>
      <c r="D429" s="17"/>
      <c r="E429" s="17"/>
      <c r="F429" s="17"/>
      <c r="G429" s="17"/>
      <c r="H429" s="18" t="s">
        <v>70</v>
      </c>
      <c r="I429" s="17"/>
      <c r="J429" s="17"/>
      <c r="K429" s="17"/>
      <c r="L429" s="14"/>
    </row>
    <row r="430" spans="1:12" ht="21.75" customHeight="1" x14ac:dyDescent="0.15">
      <c r="A430" s="14"/>
      <c r="B430" s="16"/>
      <c r="C430" s="17"/>
      <c r="D430" s="17"/>
      <c r="E430" s="17"/>
      <c r="F430" s="17"/>
      <c r="G430" s="17"/>
      <c r="H430" s="18" t="s">
        <v>70</v>
      </c>
      <c r="I430" s="17"/>
      <c r="J430" s="17"/>
      <c r="K430" s="17"/>
      <c r="L430" s="14"/>
    </row>
    <row r="431" spans="1:12" ht="21.75" customHeight="1" x14ac:dyDescent="0.15">
      <c r="A431" s="14"/>
      <c r="B431" s="16"/>
      <c r="C431" s="17"/>
      <c r="D431" s="17"/>
      <c r="E431" s="17"/>
      <c r="F431" s="17"/>
      <c r="G431" s="17"/>
      <c r="H431" s="18" t="s">
        <v>70</v>
      </c>
      <c r="I431" s="17"/>
      <c r="J431" s="17"/>
      <c r="K431" s="17"/>
      <c r="L431" s="14"/>
    </row>
    <row r="432" spans="1:12" ht="21.75" customHeight="1" x14ac:dyDescent="0.15">
      <c r="A432" s="14"/>
      <c r="B432" s="16"/>
      <c r="C432" s="17"/>
      <c r="D432" s="17"/>
      <c r="E432" s="17"/>
      <c r="F432" s="17"/>
      <c r="G432" s="17"/>
      <c r="H432" s="18" t="s">
        <v>70</v>
      </c>
      <c r="I432" s="17"/>
      <c r="J432" s="17"/>
      <c r="K432" s="17"/>
      <c r="L432" s="14"/>
    </row>
    <row r="433" spans="1:12" ht="21.75" customHeight="1" x14ac:dyDescent="0.15">
      <c r="A433" s="14"/>
      <c r="B433" s="16"/>
      <c r="C433" s="17"/>
      <c r="D433" s="17"/>
      <c r="E433" s="17"/>
      <c r="F433" s="17"/>
      <c r="G433" s="17"/>
      <c r="H433" s="18" t="s">
        <v>70</v>
      </c>
      <c r="I433" s="17"/>
      <c r="J433" s="17"/>
      <c r="K433" s="17"/>
      <c r="L433" s="14"/>
    </row>
    <row r="434" spans="1:12" ht="21.75" customHeight="1" x14ac:dyDescent="0.15">
      <c r="A434" s="14"/>
      <c r="B434" s="16"/>
      <c r="C434" s="17"/>
      <c r="D434" s="17"/>
      <c r="E434" s="17"/>
      <c r="F434" s="17"/>
      <c r="G434" s="17"/>
      <c r="H434" s="18" t="s">
        <v>70</v>
      </c>
      <c r="I434" s="17"/>
      <c r="J434" s="17"/>
      <c r="K434" s="17"/>
      <c r="L434" s="14"/>
    </row>
    <row r="435" spans="1:12" ht="21.75" customHeight="1" x14ac:dyDescent="0.15">
      <c r="A435" s="14"/>
      <c r="B435" s="16"/>
      <c r="C435" s="17"/>
      <c r="D435" s="17"/>
      <c r="E435" s="17"/>
      <c r="F435" s="17"/>
      <c r="G435" s="17"/>
      <c r="H435" s="18" t="s">
        <v>70</v>
      </c>
      <c r="I435" s="17"/>
      <c r="J435" s="17"/>
      <c r="K435" s="17"/>
      <c r="L435" s="14"/>
    </row>
    <row r="436" spans="1:12" ht="21.75" customHeight="1" x14ac:dyDescent="0.15">
      <c r="A436" s="14"/>
      <c r="B436" s="16"/>
      <c r="C436" s="17"/>
      <c r="D436" s="17"/>
      <c r="E436" s="17"/>
      <c r="F436" s="17"/>
      <c r="G436" s="17"/>
      <c r="H436" s="18" t="s">
        <v>70</v>
      </c>
      <c r="I436" s="17"/>
      <c r="J436" s="17"/>
      <c r="K436" s="17"/>
      <c r="L436" s="14"/>
    </row>
    <row r="437" spans="1:12" ht="21.75" customHeight="1" x14ac:dyDescent="0.15">
      <c r="A437" s="14"/>
      <c r="B437" s="16"/>
      <c r="C437" s="17"/>
      <c r="D437" s="17"/>
      <c r="E437" s="17"/>
      <c r="F437" s="17"/>
      <c r="G437" s="17"/>
      <c r="H437" s="18" t="s">
        <v>70</v>
      </c>
      <c r="I437" s="17"/>
      <c r="J437" s="17"/>
      <c r="K437" s="17"/>
      <c r="L437" s="14"/>
    </row>
    <row r="438" spans="1:12" ht="21.75" customHeight="1" x14ac:dyDescent="0.15">
      <c r="A438" s="14"/>
      <c r="B438" s="16"/>
      <c r="C438" s="17"/>
      <c r="D438" s="17"/>
      <c r="E438" s="17"/>
      <c r="F438" s="17"/>
      <c r="G438" s="17"/>
      <c r="H438" s="18" t="s">
        <v>70</v>
      </c>
      <c r="I438" s="17"/>
      <c r="J438" s="17"/>
      <c r="K438" s="17"/>
      <c r="L438" s="14"/>
    </row>
    <row r="439" spans="1:12" ht="21.75" customHeight="1" x14ac:dyDescent="0.15">
      <c r="A439" s="14"/>
      <c r="B439" s="16"/>
      <c r="C439" s="17"/>
      <c r="D439" s="17"/>
      <c r="E439" s="17"/>
      <c r="F439" s="17"/>
      <c r="G439" s="17"/>
      <c r="H439" s="18" t="s">
        <v>70</v>
      </c>
      <c r="I439" s="17"/>
      <c r="J439" s="17"/>
      <c r="K439" s="17"/>
      <c r="L439" s="14"/>
    </row>
    <row r="440" spans="1:12" ht="21.75" customHeight="1" x14ac:dyDescent="0.15">
      <c r="A440" s="14"/>
      <c r="B440" s="16"/>
      <c r="C440" s="17"/>
      <c r="D440" s="17"/>
      <c r="E440" s="17"/>
      <c r="F440" s="17"/>
      <c r="G440" s="17"/>
      <c r="H440" s="18" t="s">
        <v>70</v>
      </c>
      <c r="I440" s="17"/>
      <c r="J440" s="17"/>
      <c r="K440" s="17"/>
      <c r="L440" s="14"/>
    </row>
    <row r="441" spans="1:12" ht="21.75" customHeight="1" x14ac:dyDescent="0.15">
      <c r="A441" s="14"/>
      <c r="B441" s="16"/>
      <c r="C441" s="17"/>
      <c r="D441" s="17"/>
      <c r="E441" s="17"/>
      <c r="F441" s="17"/>
      <c r="G441" s="17"/>
      <c r="H441" s="18" t="s">
        <v>70</v>
      </c>
      <c r="I441" s="17"/>
      <c r="J441" s="17"/>
      <c r="K441" s="17"/>
      <c r="L441" s="14"/>
    </row>
    <row r="442" spans="1:12" ht="21.75" customHeight="1" x14ac:dyDescent="0.15">
      <c r="A442" s="14"/>
      <c r="B442" s="16"/>
      <c r="C442" s="17"/>
      <c r="D442" s="17"/>
      <c r="E442" s="17"/>
      <c r="F442" s="17"/>
      <c r="G442" s="17"/>
      <c r="H442" s="18" t="s">
        <v>70</v>
      </c>
      <c r="I442" s="17"/>
      <c r="J442" s="17"/>
      <c r="K442" s="17"/>
      <c r="L442" s="14"/>
    </row>
    <row r="443" spans="1:12" ht="21.75" customHeight="1" x14ac:dyDescent="0.15">
      <c r="A443" s="14"/>
      <c r="B443" s="16"/>
      <c r="C443" s="17"/>
      <c r="D443" s="17"/>
      <c r="E443" s="17"/>
      <c r="F443" s="17"/>
      <c r="G443" s="17"/>
      <c r="H443" s="18" t="s">
        <v>70</v>
      </c>
      <c r="I443" s="17"/>
      <c r="J443" s="17"/>
      <c r="K443" s="17"/>
      <c r="L443" s="14"/>
    </row>
    <row r="444" spans="1:12" ht="21.75" customHeight="1" x14ac:dyDescent="0.15">
      <c r="A444" s="14"/>
      <c r="B444" s="16"/>
      <c r="C444" s="17"/>
      <c r="D444" s="17"/>
      <c r="E444" s="17"/>
      <c r="F444" s="17"/>
      <c r="G444" s="17"/>
      <c r="H444" s="18" t="s">
        <v>70</v>
      </c>
      <c r="I444" s="17"/>
      <c r="J444" s="17"/>
      <c r="K444" s="17"/>
      <c r="L444" s="14"/>
    </row>
    <row r="445" spans="1:12" ht="21.75" customHeight="1" x14ac:dyDescent="0.15">
      <c r="A445" s="14"/>
      <c r="B445" s="16"/>
      <c r="C445" s="17"/>
      <c r="D445" s="17"/>
      <c r="E445" s="17"/>
      <c r="F445" s="17"/>
      <c r="G445" s="17"/>
      <c r="H445" s="18" t="s">
        <v>70</v>
      </c>
      <c r="I445" s="17"/>
      <c r="J445" s="17"/>
      <c r="K445" s="17"/>
      <c r="L445" s="14"/>
    </row>
    <row r="446" spans="1:12" ht="21.75" customHeight="1" x14ac:dyDescent="0.15">
      <c r="A446" s="14"/>
      <c r="B446" s="16"/>
      <c r="C446" s="17"/>
      <c r="D446" s="17"/>
      <c r="E446" s="17"/>
      <c r="F446" s="17"/>
      <c r="G446" s="17"/>
      <c r="H446" s="18" t="s">
        <v>70</v>
      </c>
      <c r="I446" s="17"/>
      <c r="J446" s="17"/>
      <c r="K446" s="17"/>
      <c r="L446" s="14"/>
    </row>
    <row r="447" spans="1:12" ht="21.75" customHeight="1" x14ac:dyDescent="0.15">
      <c r="A447" s="14"/>
      <c r="B447" s="16"/>
      <c r="C447" s="17"/>
      <c r="D447" s="17"/>
      <c r="E447" s="17"/>
      <c r="F447" s="17"/>
      <c r="G447" s="17"/>
      <c r="H447" s="18" t="s">
        <v>70</v>
      </c>
      <c r="I447" s="17"/>
      <c r="J447" s="17"/>
      <c r="K447" s="17"/>
      <c r="L447" s="14"/>
    </row>
    <row r="448" spans="1:12" ht="21.75" customHeight="1" x14ac:dyDescent="0.15">
      <c r="A448" s="14"/>
      <c r="B448" s="16"/>
      <c r="C448" s="17"/>
      <c r="D448" s="17"/>
      <c r="E448" s="17"/>
      <c r="F448" s="17"/>
      <c r="G448" s="17"/>
      <c r="H448" s="18" t="s">
        <v>70</v>
      </c>
      <c r="I448" s="17"/>
      <c r="J448" s="17"/>
      <c r="K448" s="17"/>
      <c r="L448" s="14"/>
    </row>
    <row r="449" spans="1:12" ht="21.75" customHeight="1" x14ac:dyDescent="0.15">
      <c r="A449" s="14"/>
      <c r="B449" s="16"/>
      <c r="C449" s="17"/>
      <c r="D449" s="17"/>
      <c r="E449" s="17"/>
      <c r="F449" s="17"/>
      <c r="G449" s="17"/>
      <c r="H449" s="18" t="s">
        <v>70</v>
      </c>
      <c r="I449" s="17"/>
      <c r="J449" s="17"/>
      <c r="K449" s="17"/>
      <c r="L449" s="14"/>
    </row>
    <row r="450" spans="1:12" ht="21.75" customHeight="1" x14ac:dyDescent="0.15">
      <c r="A450" s="14"/>
      <c r="B450" s="16"/>
      <c r="C450" s="17"/>
      <c r="D450" s="17"/>
      <c r="E450" s="17"/>
      <c r="F450" s="17"/>
      <c r="G450" s="17"/>
      <c r="H450" s="18" t="s">
        <v>70</v>
      </c>
      <c r="I450" s="17"/>
      <c r="J450" s="17"/>
      <c r="K450" s="17"/>
      <c r="L450" s="14"/>
    </row>
    <row r="451" spans="1:12" ht="21.75" customHeight="1" x14ac:dyDescent="0.15">
      <c r="A451" s="14"/>
      <c r="B451" s="16"/>
      <c r="C451" s="17"/>
      <c r="D451" s="17"/>
      <c r="E451" s="17"/>
      <c r="F451" s="17"/>
      <c r="G451" s="17"/>
      <c r="H451" s="18" t="s">
        <v>70</v>
      </c>
      <c r="I451" s="17"/>
      <c r="J451" s="17"/>
      <c r="K451" s="17"/>
      <c r="L451" s="14"/>
    </row>
    <row r="452" spans="1:12" ht="21.75" customHeight="1" x14ac:dyDescent="0.15">
      <c r="A452" s="14"/>
      <c r="B452" s="16"/>
      <c r="C452" s="17"/>
      <c r="D452" s="17"/>
      <c r="E452" s="17"/>
      <c r="F452" s="17"/>
      <c r="G452" s="17"/>
      <c r="H452" s="18" t="s">
        <v>70</v>
      </c>
      <c r="I452" s="17"/>
      <c r="J452" s="17"/>
      <c r="K452" s="17"/>
      <c r="L452" s="14"/>
    </row>
    <row r="453" spans="1:12" ht="21.75" customHeight="1" x14ac:dyDescent="0.15">
      <c r="A453" s="14"/>
      <c r="B453" s="16"/>
      <c r="C453" s="17"/>
      <c r="D453" s="17"/>
      <c r="E453" s="17"/>
      <c r="F453" s="17"/>
      <c r="G453" s="17"/>
      <c r="H453" s="18" t="s">
        <v>70</v>
      </c>
      <c r="I453" s="17"/>
      <c r="J453" s="17"/>
      <c r="K453" s="17"/>
      <c r="L453" s="14"/>
    </row>
    <row r="454" spans="1:12" ht="21.75" customHeight="1" x14ac:dyDescent="0.15">
      <c r="A454" s="14"/>
      <c r="B454" s="16"/>
      <c r="C454" s="17"/>
      <c r="D454" s="17"/>
      <c r="E454" s="17"/>
      <c r="F454" s="17"/>
      <c r="G454" s="17"/>
      <c r="H454" s="18" t="s">
        <v>70</v>
      </c>
      <c r="I454" s="17"/>
      <c r="J454" s="17"/>
      <c r="K454" s="17"/>
      <c r="L454" s="14"/>
    </row>
    <row r="455" spans="1:12" ht="21.75" customHeight="1" x14ac:dyDescent="0.15">
      <c r="A455" s="14"/>
      <c r="B455" s="16"/>
      <c r="C455" s="17"/>
      <c r="D455" s="17"/>
      <c r="E455" s="17"/>
      <c r="F455" s="17"/>
      <c r="G455" s="17"/>
      <c r="H455" s="18" t="s">
        <v>70</v>
      </c>
      <c r="I455" s="17"/>
      <c r="J455" s="17"/>
      <c r="K455" s="17"/>
      <c r="L455" s="14"/>
    </row>
    <row r="456" spans="1:12" ht="21.75" customHeight="1" x14ac:dyDescent="0.15">
      <c r="A456" s="14"/>
      <c r="B456" s="16"/>
      <c r="C456" s="17"/>
      <c r="D456" s="17"/>
      <c r="E456" s="17"/>
      <c r="F456" s="17"/>
      <c r="G456" s="17"/>
      <c r="H456" s="18" t="s">
        <v>70</v>
      </c>
      <c r="I456" s="17"/>
      <c r="J456" s="17"/>
      <c r="K456" s="17"/>
      <c r="L456" s="14"/>
    </row>
    <row r="457" spans="1:12" ht="21.75" customHeight="1" x14ac:dyDescent="0.15">
      <c r="A457" s="14"/>
      <c r="B457" s="16"/>
      <c r="C457" s="17"/>
      <c r="D457" s="17"/>
      <c r="E457" s="17"/>
      <c r="F457" s="17"/>
      <c r="G457" s="17"/>
      <c r="H457" s="18" t="s">
        <v>70</v>
      </c>
      <c r="I457" s="17"/>
      <c r="J457" s="17"/>
      <c r="K457" s="17"/>
      <c r="L457" s="14"/>
    </row>
    <row r="458" spans="1:12" ht="21.75" customHeight="1" x14ac:dyDescent="0.15">
      <c r="A458" s="14"/>
      <c r="B458" s="16"/>
      <c r="C458" s="17"/>
      <c r="D458" s="17"/>
      <c r="E458" s="17"/>
      <c r="F458" s="17"/>
      <c r="G458" s="17"/>
      <c r="H458" s="18" t="s">
        <v>70</v>
      </c>
      <c r="I458" s="17"/>
      <c r="J458" s="17"/>
      <c r="K458" s="17"/>
      <c r="L458" s="14"/>
    </row>
    <row r="459" spans="1:12" ht="21.75" customHeight="1" x14ac:dyDescent="0.15">
      <c r="A459" s="14"/>
      <c r="B459" s="16"/>
      <c r="C459" s="17"/>
      <c r="D459" s="17"/>
      <c r="E459" s="17"/>
      <c r="F459" s="17"/>
      <c r="G459" s="17"/>
      <c r="H459" s="18" t="s">
        <v>70</v>
      </c>
      <c r="I459" s="17"/>
      <c r="J459" s="17"/>
      <c r="K459" s="17"/>
      <c r="L459" s="14"/>
    </row>
    <row r="460" spans="1:12" ht="21.75" customHeight="1" x14ac:dyDescent="0.15">
      <c r="A460" s="14"/>
      <c r="B460" s="16"/>
      <c r="C460" s="17"/>
      <c r="D460" s="17"/>
      <c r="E460" s="17"/>
      <c r="F460" s="17"/>
      <c r="G460" s="17"/>
      <c r="H460" s="18" t="s">
        <v>70</v>
      </c>
      <c r="I460" s="17"/>
      <c r="J460" s="17"/>
      <c r="K460" s="17"/>
      <c r="L460" s="14"/>
    </row>
    <row r="461" spans="1:12" ht="21.75" customHeight="1" x14ac:dyDescent="0.15">
      <c r="A461" s="14"/>
      <c r="B461" s="16"/>
      <c r="C461" s="17"/>
      <c r="D461" s="17"/>
      <c r="E461" s="17"/>
      <c r="F461" s="17"/>
      <c r="G461" s="17"/>
      <c r="H461" s="18" t="s">
        <v>70</v>
      </c>
      <c r="I461" s="17"/>
      <c r="J461" s="17"/>
      <c r="K461" s="17"/>
      <c r="L461" s="14"/>
    </row>
    <row r="462" spans="1:12" ht="21.75" customHeight="1" x14ac:dyDescent="0.15">
      <c r="A462" s="14"/>
      <c r="B462" s="16"/>
      <c r="C462" s="17"/>
      <c r="D462" s="17"/>
      <c r="E462" s="17"/>
      <c r="F462" s="17"/>
      <c r="G462" s="17"/>
      <c r="H462" s="18" t="s">
        <v>70</v>
      </c>
      <c r="I462" s="17"/>
      <c r="J462" s="17"/>
      <c r="K462" s="17"/>
      <c r="L462" s="14"/>
    </row>
    <row r="463" spans="1:12" ht="21.75" customHeight="1" x14ac:dyDescent="0.15">
      <c r="A463" s="14"/>
      <c r="B463" s="16"/>
      <c r="C463" s="17"/>
      <c r="D463" s="17"/>
      <c r="E463" s="17"/>
      <c r="F463" s="17"/>
      <c r="G463" s="17"/>
      <c r="H463" s="18" t="s">
        <v>70</v>
      </c>
      <c r="I463" s="17"/>
      <c r="J463" s="17"/>
      <c r="K463" s="17"/>
      <c r="L463" s="14"/>
    </row>
    <row r="464" spans="1:12" ht="21.75" customHeight="1" x14ac:dyDescent="0.15">
      <c r="A464" s="14"/>
      <c r="B464" s="16"/>
      <c r="C464" s="17"/>
      <c r="D464" s="17"/>
      <c r="E464" s="17"/>
      <c r="F464" s="17"/>
      <c r="G464" s="17"/>
      <c r="H464" s="18" t="s">
        <v>70</v>
      </c>
      <c r="I464" s="17"/>
      <c r="J464" s="17"/>
      <c r="K464" s="17"/>
      <c r="L464" s="14"/>
    </row>
    <row r="465" spans="1:12" ht="21.75" customHeight="1" x14ac:dyDescent="0.15">
      <c r="A465" s="14"/>
      <c r="B465" s="16"/>
      <c r="C465" s="17"/>
      <c r="D465" s="17"/>
      <c r="E465" s="17"/>
      <c r="F465" s="17"/>
      <c r="G465" s="17"/>
      <c r="H465" s="18" t="s">
        <v>70</v>
      </c>
      <c r="I465" s="17"/>
      <c r="J465" s="17"/>
      <c r="K465" s="17"/>
      <c r="L465" s="14"/>
    </row>
    <row r="466" spans="1:12" ht="21.75" customHeight="1" x14ac:dyDescent="0.15">
      <c r="A466" s="14"/>
      <c r="B466" s="16"/>
      <c r="C466" s="17"/>
      <c r="D466" s="17"/>
      <c r="E466" s="17"/>
      <c r="F466" s="17"/>
      <c r="G466" s="17"/>
      <c r="H466" s="18" t="s">
        <v>70</v>
      </c>
      <c r="I466" s="17"/>
      <c r="J466" s="17"/>
      <c r="K466" s="17"/>
      <c r="L466" s="14"/>
    </row>
    <row r="467" spans="1:12" ht="21.75" customHeight="1" x14ac:dyDescent="0.15">
      <c r="A467" s="14"/>
      <c r="B467" s="16"/>
      <c r="C467" s="17"/>
      <c r="D467" s="17"/>
      <c r="E467" s="17"/>
      <c r="F467" s="17"/>
      <c r="G467" s="17"/>
      <c r="H467" s="18" t="s">
        <v>70</v>
      </c>
      <c r="I467" s="17"/>
      <c r="J467" s="17"/>
      <c r="K467" s="17"/>
      <c r="L467" s="14"/>
    </row>
    <row r="468" spans="1:12" ht="21.75" customHeight="1" x14ac:dyDescent="0.15">
      <c r="A468" s="14"/>
      <c r="B468" s="16"/>
      <c r="C468" s="17"/>
      <c r="D468" s="17"/>
      <c r="E468" s="17"/>
      <c r="F468" s="17"/>
      <c r="G468" s="17"/>
      <c r="H468" s="18" t="s">
        <v>70</v>
      </c>
      <c r="I468" s="17"/>
      <c r="J468" s="17"/>
      <c r="K468" s="17"/>
      <c r="L468" s="14"/>
    </row>
    <row r="469" spans="1:12" ht="21.75" customHeight="1" x14ac:dyDescent="0.15">
      <c r="A469" s="14"/>
      <c r="B469" s="16"/>
      <c r="C469" s="17"/>
      <c r="D469" s="17"/>
      <c r="E469" s="17"/>
      <c r="F469" s="17"/>
      <c r="G469" s="17"/>
      <c r="H469" s="18" t="s">
        <v>70</v>
      </c>
      <c r="I469" s="17"/>
      <c r="J469" s="17"/>
      <c r="K469" s="17"/>
      <c r="L469" s="14"/>
    </row>
    <row r="470" spans="1:12" ht="21.75" customHeight="1" x14ac:dyDescent="0.15">
      <c r="A470" s="14"/>
      <c r="B470" s="16"/>
      <c r="C470" s="17"/>
      <c r="D470" s="17"/>
      <c r="E470" s="17"/>
      <c r="F470" s="17"/>
      <c r="G470" s="17"/>
      <c r="H470" s="18" t="s">
        <v>70</v>
      </c>
      <c r="I470" s="17"/>
      <c r="J470" s="17"/>
      <c r="K470" s="17"/>
      <c r="L470" s="14"/>
    </row>
    <row r="471" spans="1:12" ht="21.75" customHeight="1" x14ac:dyDescent="0.15">
      <c r="A471" s="14"/>
      <c r="B471" s="16"/>
      <c r="C471" s="17"/>
      <c r="D471" s="17"/>
      <c r="E471" s="17"/>
      <c r="F471" s="17"/>
      <c r="G471" s="17"/>
      <c r="H471" s="18" t="s">
        <v>70</v>
      </c>
      <c r="I471" s="17"/>
      <c r="J471" s="17"/>
      <c r="K471" s="17"/>
      <c r="L471" s="14"/>
    </row>
    <row r="472" spans="1:12" ht="21.75" customHeight="1" x14ac:dyDescent="0.15">
      <c r="A472" s="14"/>
      <c r="B472" s="16"/>
      <c r="C472" s="17"/>
      <c r="D472" s="17"/>
      <c r="E472" s="17"/>
      <c r="F472" s="17"/>
      <c r="G472" s="17"/>
      <c r="H472" s="18" t="s">
        <v>70</v>
      </c>
      <c r="I472" s="17"/>
      <c r="J472" s="17"/>
      <c r="K472" s="17"/>
      <c r="L472" s="14"/>
    </row>
    <row r="473" spans="1:12" ht="21.75" customHeight="1" x14ac:dyDescent="0.15">
      <c r="A473" s="14"/>
      <c r="B473" s="16"/>
      <c r="C473" s="17"/>
      <c r="D473" s="17"/>
      <c r="E473" s="17"/>
      <c r="F473" s="17"/>
      <c r="G473" s="17"/>
      <c r="H473" s="18" t="s">
        <v>70</v>
      </c>
      <c r="I473" s="17"/>
      <c r="J473" s="17"/>
      <c r="K473" s="17"/>
      <c r="L473" s="14"/>
    </row>
    <row r="474" spans="1:12" ht="21.75" customHeight="1" x14ac:dyDescent="0.15">
      <c r="A474" s="14"/>
      <c r="B474" s="16"/>
      <c r="C474" s="17"/>
      <c r="D474" s="17"/>
      <c r="E474" s="17"/>
      <c r="F474" s="17"/>
      <c r="G474" s="17"/>
      <c r="H474" s="18" t="s">
        <v>70</v>
      </c>
      <c r="I474" s="17"/>
      <c r="J474" s="17"/>
      <c r="K474" s="17"/>
      <c r="L474" s="14"/>
    </row>
    <row r="475" spans="1:12" ht="21.75" customHeight="1" x14ac:dyDescent="0.15">
      <c r="A475" s="14"/>
      <c r="B475" s="16"/>
      <c r="C475" s="17"/>
      <c r="D475" s="17"/>
      <c r="E475" s="17"/>
      <c r="F475" s="17"/>
      <c r="G475" s="17"/>
      <c r="H475" s="18" t="s">
        <v>70</v>
      </c>
      <c r="I475" s="17"/>
      <c r="J475" s="17"/>
      <c r="K475" s="17"/>
      <c r="L475" s="14"/>
    </row>
    <row r="476" spans="1:12" ht="21.75" customHeight="1" x14ac:dyDescent="0.15">
      <c r="A476" s="14"/>
      <c r="B476" s="16"/>
      <c r="C476" s="17"/>
      <c r="D476" s="17"/>
      <c r="E476" s="17"/>
      <c r="F476" s="17"/>
      <c r="G476" s="17"/>
      <c r="H476" s="18" t="s">
        <v>70</v>
      </c>
      <c r="I476" s="17"/>
      <c r="J476" s="17"/>
      <c r="K476" s="17"/>
      <c r="L476" s="14"/>
    </row>
    <row r="477" spans="1:12" ht="21.75" customHeight="1" x14ac:dyDescent="0.15">
      <c r="A477" s="14"/>
      <c r="B477" s="16"/>
      <c r="C477" s="17"/>
      <c r="D477" s="17"/>
      <c r="E477" s="17"/>
      <c r="F477" s="17"/>
      <c r="G477" s="17"/>
      <c r="H477" s="18" t="s">
        <v>70</v>
      </c>
      <c r="I477" s="17"/>
      <c r="J477" s="17"/>
      <c r="K477" s="17"/>
      <c r="L477" s="14"/>
    </row>
    <row r="478" spans="1:12" ht="21.75" customHeight="1" x14ac:dyDescent="0.15">
      <c r="A478" s="14"/>
      <c r="B478" s="16"/>
      <c r="C478" s="17"/>
      <c r="D478" s="17"/>
      <c r="E478" s="17"/>
      <c r="F478" s="17"/>
      <c r="G478" s="17"/>
      <c r="H478" s="18" t="s">
        <v>70</v>
      </c>
      <c r="I478" s="17"/>
      <c r="J478" s="17"/>
      <c r="K478" s="17"/>
      <c r="L478" s="14"/>
    </row>
    <row r="479" spans="1:12" ht="21.75" customHeight="1" x14ac:dyDescent="0.15">
      <c r="A479" s="14"/>
      <c r="B479" s="16"/>
      <c r="C479" s="17"/>
      <c r="D479" s="17"/>
      <c r="E479" s="17"/>
      <c r="F479" s="17"/>
      <c r="G479" s="17"/>
      <c r="H479" s="18" t="s">
        <v>70</v>
      </c>
      <c r="I479" s="17"/>
      <c r="J479" s="17"/>
      <c r="K479" s="17"/>
      <c r="L479" s="14"/>
    </row>
    <row r="480" spans="1:12" ht="21.75" customHeight="1" x14ac:dyDescent="0.15">
      <c r="A480" s="14"/>
      <c r="B480" s="16"/>
      <c r="C480" s="17"/>
      <c r="D480" s="17"/>
      <c r="E480" s="17"/>
      <c r="F480" s="17"/>
      <c r="G480" s="17"/>
      <c r="H480" s="18" t="s">
        <v>70</v>
      </c>
      <c r="I480" s="17"/>
      <c r="J480" s="17"/>
      <c r="K480" s="17"/>
      <c r="L480" s="14"/>
    </row>
    <row r="481" spans="1:12" ht="21.75" customHeight="1" x14ac:dyDescent="0.15">
      <c r="A481" s="14"/>
      <c r="B481" s="16"/>
      <c r="C481" s="17"/>
      <c r="D481" s="17"/>
      <c r="E481" s="17"/>
      <c r="F481" s="17"/>
      <c r="G481" s="17"/>
      <c r="H481" s="18" t="s">
        <v>70</v>
      </c>
      <c r="I481" s="17"/>
      <c r="J481" s="17"/>
      <c r="K481" s="17"/>
      <c r="L481" s="14"/>
    </row>
    <row r="482" spans="1:12" ht="21.75" customHeight="1" x14ac:dyDescent="0.15">
      <c r="A482" s="14"/>
      <c r="B482" s="16"/>
      <c r="C482" s="17"/>
      <c r="D482" s="17"/>
      <c r="E482" s="17"/>
      <c r="F482" s="17"/>
      <c r="G482" s="17"/>
      <c r="H482" s="18" t="s">
        <v>70</v>
      </c>
      <c r="I482" s="17"/>
      <c r="J482" s="17"/>
      <c r="K482" s="17"/>
      <c r="L482" s="14"/>
    </row>
    <row r="483" spans="1:12" ht="21.75" customHeight="1" x14ac:dyDescent="0.15">
      <c r="A483" s="14"/>
      <c r="B483" s="16"/>
      <c r="C483" s="17"/>
      <c r="D483" s="17"/>
      <c r="E483" s="17"/>
      <c r="F483" s="17"/>
      <c r="G483" s="17"/>
      <c r="H483" s="18" t="s">
        <v>70</v>
      </c>
      <c r="I483" s="17"/>
      <c r="J483" s="17"/>
      <c r="K483" s="17"/>
      <c r="L483" s="14"/>
    </row>
    <row r="484" spans="1:12" ht="21.75" customHeight="1" x14ac:dyDescent="0.15">
      <c r="A484" s="14"/>
      <c r="B484" s="16"/>
      <c r="C484" s="17"/>
      <c r="D484" s="17"/>
      <c r="E484" s="17"/>
      <c r="F484" s="17"/>
      <c r="G484" s="17"/>
      <c r="H484" s="18" t="s">
        <v>70</v>
      </c>
      <c r="I484" s="17"/>
      <c r="J484" s="17"/>
      <c r="K484" s="17"/>
      <c r="L484" s="14"/>
    </row>
    <row r="485" spans="1:12" ht="21.75" customHeight="1" x14ac:dyDescent="0.15">
      <c r="A485" s="14"/>
      <c r="B485" s="16"/>
      <c r="C485" s="17"/>
      <c r="D485" s="17"/>
      <c r="E485" s="17"/>
      <c r="F485" s="17"/>
      <c r="G485" s="17"/>
      <c r="H485" s="18" t="s">
        <v>70</v>
      </c>
      <c r="I485" s="17"/>
      <c r="J485" s="17"/>
      <c r="K485" s="17"/>
      <c r="L485" s="14"/>
    </row>
    <row r="486" spans="1:12" ht="21.75" customHeight="1" x14ac:dyDescent="0.15">
      <c r="A486" s="14"/>
      <c r="B486" s="16"/>
      <c r="C486" s="17"/>
      <c r="D486" s="17"/>
      <c r="E486" s="17"/>
      <c r="F486" s="17"/>
      <c r="G486" s="17"/>
      <c r="H486" s="18" t="s">
        <v>70</v>
      </c>
      <c r="I486" s="17"/>
      <c r="J486" s="17"/>
      <c r="K486" s="17"/>
      <c r="L486" s="14"/>
    </row>
    <row r="487" spans="1:12" ht="21.75" customHeight="1" x14ac:dyDescent="0.15">
      <c r="A487" s="14"/>
      <c r="B487" s="16"/>
      <c r="C487" s="17"/>
      <c r="D487" s="17"/>
      <c r="E487" s="17"/>
      <c r="F487" s="17"/>
      <c r="G487" s="17"/>
      <c r="H487" s="18" t="s">
        <v>70</v>
      </c>
      <c r="I487" s="17"/>
      <c r="J487" s="17"/>
      <c r="K487" s="17"/>
      <c r="L487" s="14"/>
    </row>
    <row r="488" spans="1:12" ht="21.75" customHeight="1" x14ac:dyDescent="0.15">
      <c r="A488" s="14"/>
      <c r="B488" s="16"/>
      <c r="C488" s="17"/>
      <c r="D488" s="17"/>
      <c r="E488" s="17"/>
      <c r="F488" s="17"/>
      <c r="G488" s="17"/>
      <c r="H488" s="18" t="s">
        <v>70</v>
      </c>
      <c r="I488" s="17"/>
      <c r="J488" s="17"/>
      <c r="K488" s="17"/>
      <c r="L488" s="14"/>
    </row>
    <row r="489" spans="1:12" ht="21.75" customHeight="1" x14ac:dyDescent="0.15">
      <c r="A489" s="14"/>
      <c r="B489" s="16"/>
      <c r="C489" s="17"/>
      <c r="D489" s="17"/>
      <c r="E489" s="17"/>
      <c r="F489" s="17"/>
      <c r="G489" s="17"/>
      <c r="H489" s="18" t="s">
        <v>70</v>
      </c>
      <c r="I489" s="17"/>
      <c r="J489" s="17"/>
      <c r="K489" s="17"/>
      <c r="L489" s="14"/>
    </row>
    <row r="490" spans="1:12" ht="21.75" customHeight="1" x14ac:dyDescent="0.15">
      <c r="A490" s="14"/>
      <c r="B490" s="16"/>
      <c r="C490" s="17"/>
      <c r="D490" s="17"/>
      <c r="E490" s="17"/>
      <c r="F490" s="17"/>
      <c r="G490" s="17"/>
      <c r="H490" s="18" t="s">
        <v>70</v>
      </c>
      <c r="I490" s="17"/>
      <c r="J490" s="17"/>
      <c r="K490" s="17"/>
      <c r="L490" s="14"/>
    </row>
    <row r="491" spans="1:12" ht="21.75" customHeight="1" x14ac:dyDescent="0.15">
      <c r="A491" s="14"/>
      <c r="B491" s="16"/>
      <c r="C491" s="17"/>
      <c r="D491" s="17"/>
      <c r="E491" s="17"/>
      <c r="F491" s="17"/>
      <c r="G491" s="17"/>
      <c r="H491" s="18" t="s">
        <v>70</v>
      </c>
      <c r="I491" s="17"/>
      <c r="J491" s="17"/>
      <c r="K491" s="17"/>
      <c r="L491" s="14"/>
    </row>
    <row r="492" spans="1:12" ht="21.75" customHeight="1" x14ac:dyDescent="0.15">
      <c r="A492" s="14"/>
      <c r="B492" s="16"/>
      <c r="C492" s="17"/>
      <c r="D492" s="17"/>
      <c r="E492" s="17"/>
      <c r="F492" s="17"/>
      <c r="G492" s="17"/>
      <c r="H492" s="18" t="s">
        <v>70</v>
      </c>
      <c r="I492" s="17"/>
      <c r="J492" s="17"/>
      <c r="K492" s="17"/>
      <c r="L492" s="14"/>
    </row>
    <row r="493" spans="1:12" ht="21.75" customHeight="1" x14ac:dyDescent="0.15">
      <c r="A493" s="14"/>
      <c r="B493" s="16"/>
      <c r="C493" s="17"/>
      <c r="D493" s="17"/>
      <c r="E493" s="17"/>
      <c r="F493" s="17"/>
      <c r="G493" s="17"/>
      <c r="H493" s="18" t="s">
        <v>70</v>
      </c>
      <c r="I493" s="17"/>
      <c r="J493" s="17"/>
      <c r="K493" s="17"/>
      <c r="L493" s="14"/>
    </row>
    <row r="494" spans="1:12" ht="21.75" customHeight="1" x14ac:dyDescent="0.15">
      <c r="A494" s="14"/>
      <c r="B494" s="16"/>
      <c r="C494" s="17"/>
      <c r="D494" s="17"/>
      <c r="E494" s="17"/>
      <c r="F494" s="17"/>
      <c r="G494" s="17"/>
      <c r="H494" s="18" t="s">
        <v>70</v>
      </c>
      <c r="I494" s="17"/>
      <c r="J494" s="17"/>
      <c r="K494" s="17"/>
      <c r="L494" s="14"/>
    </row>
    <row r="495" spans="1:12" ht="21.75" customHeight="1" x14ac:dyDescent="0.15">
      <c r="A495" s="14"/>
      <c r="B495" s="16"/>
      <c r="C495" s="17"/>
      <c r="D495" s="17"/>
      <c r="E495" s="17"/>
      <c r="F495" s="17"/>
      <c r="G495" s="17"/>
      <c r="H495" s="18" t="s">
        <v>70</v>
      </c>
      <c r="I495" s="17"/>
      <c r="J495" s="17"/>
      <c r="K495" s="17"/>
      <c r="L495" s="14"/>
    </row>
    <row r="496" spans="1:12" ht="21.75" customHeight="1" x14ac:dyDescent="0.15">
      <c r="A496" s="14"/>
      <c r="B496" s="16"/>
      <c r="C496" s="17"/>
      <c r="D496" s="17"/>
      <c r="E496" s="17"/>
      <c r="F496" s="17"/>
      <c r="G496" s="17"/>
      <c r="H496" s="18" t="s">
        <v>70</v>
      </c>
      <c r="I496" s="17"/>
      <c r="J496" s="17"/>
      <c r="K496" s="17"/>
      <c r="L496" s="14"/>
    </row>
    <row r="497" spans="1:12" ht="21.75" customHeight="1" x14ac:dyDescent="0.15">
      <c r="A497" s="14"/>
      <c r="B497" s="16"/>
      <c r="C497" s="17"/>
      <c r="D497" s="17"/>
      <c r="E497" s="17"/>
      <c r="F497" s="17"/>
      <c r="G497" s="17"/>
      <c r="H497" s="18" t="s">
        <v>70</v>
      </c>
      <c r="I497" s="17"/>
      <c r="J497" s="17"/>
      <c r="K497" s="17"/>
      <c r="L497" s="14"/>
    </row>
    <row r="498" spans="1:12" ht="21.75" customHeight="1" x14ac:dyDescent="0.15">
      <c r="A498" s="14"/>
      <c r="B498" s="16"/>
      <c r="C498" s="17"/>
      <c r="D498" s="17"/>
      <c r="E498" s="17"/>
      <c r="F498" s="17"/>
      <c r="G498" s="17"/>
      <c r="H498" s="18" t="s">
        <v>70</v>
      </c>
      <c r="I498" s="17"/>
      <c r="J498" s="17"/>
      <c r="K498" s="17"/>
      <c r="L498" s="14"/>
    </row>
    <row r="499" spans="1:12" ht="21.75" customHeight="1" x14ac:dyDescent="0.15">
      <c r="A499" s="14"/>
      <c r="B499" s="16"/>
      <c r="C499" s="17"/>
      <c r="D499" s="17"/>
      <c r="E499" s="17"/>
      <c r="F499" s="17"/>
      <c r="G499" s="17"/>
      <c r="H499" s="18" t="s">
        <v>70</v>
      </c>
      <c r="I499" s="17"/>
      <c r="J499" s="17"/>
      <c r="K499" s="17"/>
      <c r="L499" s="14"/>
    </row>
    <row r="500" spans="1:12" ht="21.75" customHeight="1" x14ac:dyDescent="0.15">
      <c r="A500" s="14"/>
      <c r="B500" s="16"/>
      <c r="C500" s="17"/>
      <c r="D500" s="17"/>
      <c r="E500" s="17"/>
      <c r="F500" s="17"/>
      <c r="G500" s="17"/>
      <c r="H500" s="18" t="s">
        <v>70</v>
      </c>
      <c r="I500" s="17"/>
      <c r="J500" s="17"/>
      <c r="K500" s="17"/>
      <c r="L500" s="14"/>
    </row>
    <row r="501" spans="1:12" ht="21.75" customHeight="1" x14ac:dyDescent="0.15">
      <c r="A501" s="14"/>
      <c r="B501" s="16"/>
      <c r="C501" s="17"/>
      <c r="D501" s="17"/>
      <c r="E501" s="17"/>
      <c r="F501" s="17"/>
      <c r="G501" s="17"/>
      <c r="H501" s="18" t="s">
        <v>70</v>
      </c>
      <c r="I501" s="17"/>
      <c r="J501" s="17"/>
      <c r="K501" s="17"/>
      <c r="L501" s="14"/>
    </row>
    <row r="502" spans="1:12" ht="21.75" customHeight="1" x14ac:dyDescent="0.15">
      <c r="A502" s="14"/>
      <c r="B502" s="16"/>
      <c r="C502" s="17"/>
      <c r="D502" s="17"/>
      <c r="E502" s="17"/>
      <c r="F502" s="17"/>
      <c r="G502" s="17"/>
      <c r="H502" s="18" t="s">
        <v>70</v>
      </c>
      <c r="I502" s="17"/>
      <c r="J502" s="17"/>
      <c r="K502" s="17"/>
      <c r="L502" s="14"/>
    </row>
    <row r="503" spans="1:12" ht="21.75" customHeight="1" x14ac:dyDescent="0.15">
      <c r="A503" s="14"/>
      <c r="B503" s="16"/>
      <c r="C503" s="17"/>
      <c r="D503" s="17"/>
      <c r="E503" s="17"/>
      <c r="F503" s="17"/>
      <c r="G503" s="17"/>
      <c r="H503" s="18" t="s">
        <v>70</v>
      </c>
      <c r="I503" s="17"/>
      <c r="J503" s="17"/>
      <c r="K503" s="17"/>
      <c r="L503" s="14"/>
    </row>
    <row r="504" spans="1:12" ht="21.75" customHeight="1" x14ac:dyDescent="0.15">
      <c r="A504" s="14"/>
      <c r="B504" s="16"/>
      <c r="C504" s="17"/>
      <c r="D504" s="17"/>
      <c r="E504" s="17"/>
      <c r="F504" s="17"/>
      <c r="G504" s="17"/>
      <c r="H504" s="18" t="s">
        <v>70</v>
      </c>
      <c r="I504" s="17"/>
      <c r="J504" s="17"/>
      <c r="K504" s="17"/>
      <c r="L504" s="14"/>
    </row>
    <row r="505" spans="1:12" ht="21.75" customHeight="1" x14ac:dyDescent="0.15">
      <c r="A505" s="14"/>
      <c r="B505" s="16"/>
      <c r="C505" s="17"/>
      <c r="D505" s="17"/>
      <c r="E505" s="17"/>
      <c r="F505" s="17"/>
      <c r="G505" s="17"/>
      <c r="H505" s="18" t="s">
        <v>70</v>
      </c>
      <c r="I505" s="17"/>
      <c r="J505" s="17"/>
      <c r="K505" s="17"/>
      <c r="L505" s="14"/>
    </row>
    <row r="506" spans="1:12" ht="21.75" customHeight="1" x14ac:dyDescent="0.15">
      <c r="A506" s="14"/>
      <c r="B506" s="16"/>
      <c r="C506" s="17"/>
      <c r="D506" s="17"/>
      <c r="E506" s="17"/>
      <c r="F506" s="17"/>
      <c r="G506" s="17"/>
      <c r="H506" s="18" t="s">
        <v>70</v>
      </c>
      <c r="I506" s="17"/>
      <c r="J506" s="17"/>
      <c r="K506" s="17"/>
      <c r="L506" s="14"/>
    </row>
    <row r="507" spans="1:12" ht="21.75" customHeight="1" x14ac:dyDescent="0.15">
      <c r="A507" s="14"/>
      <c r="B507" s="16"/>
      <c r="C507" s="17"/>
      <c r="D507" s="17"/>
      <c r="E507" s="17"/>
      <c r="F507" s="17"/>
      <c r="G507" s="17"/>
      <c r="H507" s="18" t="s">
        <v>70</v>
      </c>
      <c r="I507" s="17"/>
      <c r="J507" s="17"/>
      <c r="K507" s="17"/>
      <c r="L507" s="14"/>
    </row>
    <row r="508" spans="1:12" ht="21.75" customHeight="1" x14ac:dyDescent="0.15">
      <c r="A508" s="14"/>
      <c r="B508" s="16"/>
      <c r="C508" s="17"/>
      <c r="D508" s="17"/>
      <c r="E508" s="17"/>
      <c r="F508" s="17"/>
      <c r="G508" s="17"/>
      <c r="H508" s="18" t="s">
        <v>70</v>
      </c>
      <c r="I508" s="17"/>
      <c r="J508" s="17"/>
      <c r="K508" s="17"/>
      <c r="L508" s="14"/>
    </row>
    <row r="509" spans="1:12" ht="21.75" customHeight="1" x14ac:dyDescent="0.15">
      <c r="A509" s="14"/>
      <c r="B509" s="16"/>
      <c r="C509" s="17"/>
      <c r="D509" s="17"/>
      <c r="E509" s="17"/>
      <c r="F509" s="17"/>
      <c r="G509" s="17"/>
      <c r="H509" s="18" t="s">
        <v>70</v>
      </c>
      <c r="I509" s="17"/>
      <c r="J509" s="17"/>
      <c r="K509" s="17"/>
      <c r="L509" s="14"/>
    </row>
    <row r="510" spans="1:12" ht="21.75" customHeight="1" x14ac:dyDescent="0.15">
      <c r="A510" s="14"/>
      <c r="B510" s="16"/>
      <c r="C510" s="17"/>
      <c r="D510" s="17"/>
      <c r="E510" s="17"/>
      <c r="F510" s="17"/>
      <c r="G510" s="17"/>
      <c r="H510" s="18" t="s">
        <v>70</v>
      </c>
      <c r="I510" s="17"/>
      <c r="J510" s="17"/>
      <c r="K510" s="17"/>
      <c r="L510" s="14"/>
    </row>
    <row r="511" spans="1:12" ht="21.75" customHeight="1" x14ac:dyDescent="0.15">
      <c r="A511" s="14"/>
      <c r="B511" s="16"/>
      <c r="C511" s="17"/>
      <c r="D511" s="17"/>
      <c r="E511" s="17"/>
      <c r="F511" s="17"/>
      <c r="G511" s="17"/>
      <c r="H511" s="18" t="s">
        <v>70</v>
      </c>
      <c r="I511" s="17"/>
      <c r="J511" s="17"/>
      <c r="K511" s="17"/>
      <c r="L511" s="14"/>
    </row>
    <row r="512" spans="1:12" ht="21.75" customHeight="1" x14ac:dyDescent="0.15">
      <c r="A512" s="14"/>
      <c r="B512" s="16"/>
      <c r="C512" s="17"/>
      <c r="D512" s="17"/>
      <c r="E512" s="17"/>
      <c r="F512" s="17"/>
      <c r="G512" s="17"/>
      <c r="H512" s="18" t="s">
        <v>70</v>
      </c>
      <c r="I512" s="17"/>
      <c r="J512" s="17"/>
      <c r="K512" s="17"/>
      <c r="L512" s="14"/>
    </row>
    <row r="513" spans="1:12" ht="21.75" customHeight="1" x14ac:dyDescent="0.15">
      <c r="A513" s="14"/>
      <c r="B513" s="16"/>
      <c r="C513" s="17"/>
      <c r="D513" s="17"/>
      <c r="E513" s="17"/>
      <c r="F513" s="17"/>
      <c r="G513" s="17"/>
      <c r="H513" s="18" t="s">
        <v>70</v>
      </c>
      <c r="I513" s="17"/>
      <c r="J513" s="17"/>
      <c r="K513" s="17"/>
      <c r="L513" s="14"/>
    </row>
    <row r="514" spans="1:12" ht="21.75" customHeight="1" x14ac:dyDescent="0.15">
      <c r="A514" s="14"/>
      <c r="B514" s="16"/>
      <c r="C514" s="17"/>
      <c r="D514" s="17"/>
      <c r="E514" s="17"/>
      <c r="F514" s="17"/>
      <c r="G514" s="17"/>
      <c r="H514" s="18" t="s">
        <v>70</v>
      </c>
      <c r="I514" s="17"/>
      <c r="J514" s="17"/>
      <c r="K514" s="17"/>
      <c r="L514" s="14"/>
    </row>
    <row r="515" spans="1:12" ht="21.75" customHeight="1" x14ac:dyDescent="0.15">
      <c r="A515" s="14"/>
      <c r="B515" s="16"/>
      <c r="C515" s="17"/>
      <c r="D515" s="17"/>
      <c r="E515" s="17"/>
      <c r="F515" s="17"/>
      <c r="G515" s="17"/>
      <c r="H515" s="18" t="s">
        <v>70</v>
      </c>
      <c r="I515" s="17"/>
      <c r="J515" s="17"/>
      <c r="K515" s="17"/>
      <c r="L515" s="14"/>
    </row>
    <row r="516" spans="1:12" ht="21.75" customHeight="1" x14ac:dyDescent="0.15">
      <c r="A516" s="14"/>
      <c r="B516" s="16"/>
      <c r="C516" s="17"/>
      <c r="D516" s="17"/>
      <c r="E516" s="17"/>
      <c r="F516" s="17"/>
      <c r="G516" s="17"/>
      <c r="H516" s="18" t="s">
        <v>70</v>
      </c>
      <c r="I516" s="17"/>
      <c r="J516" s="17"/>
      <c r="K516" s="17"/>
      <c r="L516" s="14"/>
    </row>
    <row r="517" spans="1:12" ht="21.75" customHeight="1" x14ac:dyDescent="0.15">
      <c r="A517" s="14"/>
      <c r="B517" s="16"/>
      <c r="C517" s="17"/>
      <c r="D517" s="17"/>
      <c r="E517" s="17"/>
      <c r="F517" s="17"/>
      <c r="G517" s="17"/>
      <c r="H517" s="18" t="s">
        <v>70</v>
      </c>
      <c r="I517" s="17"/>
      <c r="J517" s="17"/>
      <c r="K517" s="17"/>
      <c r="L517" s="14"/>
    </row>
    <row r="518" spans="1:12" ht="21.75" customHeight="1" x14ac:dyDescent="0.15">
      <c r="A518" s="14"/>
      <c r="B518" s="16"/>
      <c r="C518" s="17"/>
      <c r="D518" s="17"/>
      <c r="E518" s="17"/>
      <c r="F518" s="17"/>
      <c r="G518" s="17"/>
      <c r="H518" s="18" t="s">
        <v>70</v>
      </c>
      <c r="I518" s="17"/>
      <c r="J518" s="17"/>
      <c r="K518" s="17"/>
      <c r="L518" s="14"/>
    </row>
    <row r="519" spans="1:12" ht="21.75" customHeight="1" x14ac:dyDescent="0.15">
      <c r="A519" s="14"/>
      <c r="B519" s="16"/>
      <c r="C519" s="17"/>
      <c r="D519" s="17"/>
      <c r="E519" s="17"/>
      <c r="F519" s="17"/>
      <c r="G519" s="17"/>
      <c r="H519" s="18" t="s">
        <v>70</v>
      </c>
      <c r="I519" s="17"/>
      <c r="J519" s="17"/>
      <c r="K519" s="17"/>
      <c r="L519" s="14"/>
    </row>
    <row r="520" spans="1:12" ht="21.75" customHeight="1" x14ac:dyDescent="0.15">
      <c r="A520" s="14"/>
      <c r="B520" s="16"/>
      <c r="C520" s="17"/>
      <c r="D520" s="17"/>
      <c r="E520" s="17"/>
      <c r="F520" s="17"/>
      <c r="G520" s="17"/>
      <c r="H520" s="18" t="s">
        <v>70</v>
      </c>
      <c r="I520" s="17"/>
      <c r="J520" s="17"/>
      <c r="K520" s="17"/>
      <c r="L520" s="14"/>
    </row>
    <row r="521" spans="1:12" ht="21.75" customHeight="1" x14ac:dyDescent="0.15">
      <c r="A521" s="14"/>
      <c r="B521" s="16"/>
      <c r="C521" s="17"/>
      <c r="D521" s="17"/>
      <c r="E521" s="17"/>
      <c r="F521" s="17"/>
      <c r="G521" s="17"/>
      <c r="H521" s="18" t="s">
        <v>70</v>
      </c>
      <c r="I521" s="17"/>
      <c r="J521" s="17"/>
      <c r="K521" s="17"/>
      <c r="L521" s="14"/>
    </row>
    <row r="522" spans="1:12" ht="21.75" customHeight="1" x14ac:dyDescent="0.15">
      <c r="A522" s="14"/>
      <c r="B522" s="16"/>
      <c r="C522" s="17"/>
      <c r="D522" s="17"/>
      <c r="E522" s="17"/>
      <c r="F522" s="17"/>
      <c r="G522" s="17"/>
      <c r="H522" s="18" t="s">
        <v>70</v>
      </c>
      <c r="I522" s="17"/>
      <c r="J522" s="17"/>
      <c r="K522" s="17"/>
      <c r="L522" s="14"/>
    </row>
    <row r="523" spans="1:12" ht="21.75" customHeight="1" x14ac:dyDescent="0.15">
      <c r="A523" s="14"/>
      <c r="B523" s="16"/>
      <c r="C523" s="17"/>
      <c r="D523" s="17"/>
      <c r="E523" s="17"/>
      <c r="F523" s="17"/>
      <c r="G523" s="17"/>
      <c r="H523" s="18" t="s">
        <v>70</v>
      </c>
      <c r="I523" s="17"/>
      <c r="J523" s="17"/>
      <c r="K523" s="17"/>
      <c r="L523" s="14"/>
    </row>
    <row r="524" spans="1:12" ht="21.75" customHeight="1" x14ac:dyDescent="0.15">
      <c r="A524" s="14"/>
      <c r="B524" s="16"/>
      <c r="C524" s="17"/>
      <c r="D524" s="17"/>
      <c r="E524" s="17"/>
      <c r="F524" s="17"/>
      <c r="G524" s="17"/>
      <c r="H524" s="18" t="s">
        <v>70</v>
      </c>
      <c r="I524" s="17"/>
      <c r="J524" s="17"/>
      <c r="K524" s="17"/>
      <c r="L524" s="14"/>
    </row>
    <row r="525" spans="1:12" ht="21.75" customHeight="1" x14ac:dyDescent="0.15">
      <c r="A525" s="14"/>
      <c r="B525" s="16"/>
      <c r="C525" s="17"/>
      <c r="D525" s="17"/>
      <c r="E525" s="17"/>
      <c r="F525" s="17"/>
      <c r="G525" s="17"/>
      <c r="H525" s="18" t="s">
        <v>70</v>
      </c>
      <c r="I525" s="17"/>
      <c r="J525" s="17"/>
      <c r="K525" s="17"/>
      <c r="L525" s="14"/>
    </row>
    <row r="526" spans="1:12" ht="21.75" customHeight="1" x14ac:dyDescent="0.15">
      <c r="A526" s="14"/>
      <c r="B526" s="16"/>
      <c r="C526" s="17"/>
      <c r="D526" s="17"/>
      <c r="E526" s="17"/>
      <c r="F526" s="17"/>
      <c r="G526" s="17"/>
      <c r="H526" s="18" t="s">
        <v>70</v>
      </c>
      <c r="I526" s="17"/>
      <c r="J526" s="17"/>
      <c r="K526" s="17"/>
      <c r="L526" s="14"/>
    </row>
    <row r="527" spans="1:12" ht="21.75" customHeight="1" x14ac:dyDescent="0.15">
      <c r="A527" s="14"/>
      <c r="B527" s="16"/>
      <c r="C527" s="17"/>
      <c r="D527" s="17"/>
      <c r="E527" s="17"/>
      <c r="F527" s="17"/>
      <c r="G527" s="17"/>
      <c r="H527" s="18" t="s">
        <v>70</v>
      </c>
      <c r="I527" s="17"/>
      <c r="J527" s="17"/>
      <c r="K527" s="17"/>
      <c r="L527" s="14"/>
    </row>
    <row r="528" spans="1:12" ht="21.75" customHeight="1" x14ac:dyDescent="0.15">
      <c r="A528" s="14"/>
      <c r="B528" s="16"/>
      <c r="C528" s="17"/>
      <c r="D528" s="17"/>
      <c r="E528" s="17"/>
      <c r="F528" s="17"/>
      <c r="G528" s="17"/>
      <c r="H528" s="18" t="s">
        <v>70</v>
      </c>
      <c r="I528" s="17"/>
      <c r="J528" s="17"/>
      <c r="K528" s="17"/>
      <c r="L528" s="14"/>
    </row>
    <row r="529" spans="1:12" ht="21.75" customHeight="1" x14ac:dyDescent="0.15">
      <c r="A529" s="14"/>
      <c r="B529" s="16"/>
      <c r="C529" s="17"/>
      <c r="D529" s="17"/>
      <c r="E529" s="17"/>
      <c r="F529" s="17"/>
      <c r="G529" s="17"/>
      <c r="H529" s="18" t="s">
        <v>70</v>
      </c>
      <c r="I529" s="17"/>
      <c r="J529" s="17"/>
      <c r="K529" s="17"/>
      <c r="L529" s="14"/>
    </row>
    <row r="530" spans="1:12" ht="21.75" customHeight="1" x14ac:dyDescent="0.15">
      <c r="A530" s="14"/>
      <c r="B530" s="16"/>
      <c r="C530" s="17"/>
      <c r="D530" s="17"/>
      <c r="E530" s="17"/>
      <c r="F530" s="17"/>
      <c r="G530" s="17"/>
      <c r="H530" s="18" t="s">
        <v>70</v>
      </c>
      <c r="I530" s="17"/>
      <c r="J530" s="17"/>
      <c r="K530" s="17"/>
      <c r="L530" s="14"/>
    </row>
    <row r="531" spans="1:12" ht="21.75" customHeight="1" x14ac:dyDescent="0.15">
      <c r="A531" s="14"/>
      <c r="B531" s="16"/>
      <c r="C531" s="17"/>
      <c r="D531" s="17"/>
      <c r="E531" s="17"/>
      <c r="F531" s="17"/>
      <c r="G531" s="17"/>
      <c r="H531" s="18" t="s">
        <v>70</v>
      </c>
      <c r="I531" s="17"/>
      <c r="J531" s="17"/>
      <c r="K531" s="17"/>
      <c r="L531" s="14"/>
    </row>
    <row r="532" spans="1:12" ht="21.75" customHeight="1" x14ac:dyDescent="0.15">
      <c r="A532" s="14"/>
      <c r="B532" s="16"/>
      <c r="C532" s="17"/>
      <c r="D532" s="17"/>
      <c r="E532" s="17"/>
      <c r="F532" s="17"/>
      <c r="G532" s="17"/>
      <c r="H532" s="18" t="s">
        <v>70</v>
      </c>
      <c r="I532" s="17"/>
      <c r="J532" s="17"/>
      <c r="K532" s="17"/>
      <c r="L532" s="14"/>
    </row>
    <row r="533" spans="1:12" ht="21.75" customHeight="1" x14ac:dyDescent="0.15">
      <c r="A533" s="14"/>
      <c r="B533" s="16"/>
      <c r="C533" s="17"/>
      <c r="D533" s="17"/>
      <c r="E533" s="17"/>
      <c r="F533" s="17"/>
      <c r="G533" s="17"/>
      <c r="H533" s="18" t="s">
        <v>70</v>
      </c>
      <c r="I533" s="17"/>
      <c r="J533" s="17"/>
      <c r="K533" s="17"/>
      <c r="L533" s="14"/>
    </row>
    <row r="534" spans="1:12" ht="21.75" customHeight="1" x14ac:dyDescent="0.15">
      <c r="A534" s="14"/>
      <c r="B534" s="16"/>
      <c r="C534" s="17"/>
      <c r="D534" s="17"/>
      <c r="E534" s="17"/>
      <c r="F534" s="17"/>
      <c r="G534" s="17"/>
      <c r="H534" s="18" t="s">
        <v>70</v>
      </c>
      <c r="I534" s="17"/>
      <c r="J534" s="17"/>
      <c r="K534" s="17"/>
      <c r="L534" s="14"/>
    </row>
    <row r="535" spans="1:12" ht="21.75" customHeight="1" x14ac:dyDescent="0.15">
      <c r="A535" s="14"/>
      <c r="B535" s="16"/>
      <c r="C535" s="17"/>
      <c r="D535" s="17"/>
      <c r="E535" s="17"/>
      <c r="F535" s="17"/>
      <c r="G535" s="17"/>
      <c r="H535" s="18" t="s">
        <v>70</v>
      </c>
      <c r="I535" s="17"/>
      <c r="J535" s="17"/>
      <c r="K535" s="17"/>
      <c r="L535" s="14"/>
    </row>
    <row r="536" spans="1:12" ht="21.75" customHeight="1" x14ac:dyDescent="0.15">
      <c r="A536" s="14"/>
      <c r="B536" s="16"/>
      <c r="C536" s="17"/>
      <c r="D536" s="17"/>
      <c r="E536" s="17"/>
      <c r="F536" s="17"/>
      <c r="G536" s="17"/>
      <c r="H536" s="18" t="s">
        <v>70</v>
      </c>
      <c r="I536" s="17"/>
      <c r="J536" s="17"/>
      <c r="K536" s="17"/>
      <c r="L536" s="14"/>
    </row>
    <row r="537" spans="1:12" ht="21.75" customHeight="1" x14ac:dyDescent="0.15">
      <c r="A537" s="14"/>
      <c r="B537" s="16"/>
      <c r="C537" s="17"/>
      <c r="D537" s="17"/>
      <c r="E537" s="17"/>
      <c r="F537" s="17"/>
      <c r="G537" s="17"/>
      <c r="H537" s="18" t="s">
        <v>70</v>
      </c>
      <c r="I537" s="17"/>
      <c r="J537" s="17"/>
      <c r="K537" s="17"/>
      <c r="L537" s="14"/>
    </row>
    <row r="538" spans="1:12" ht="21.75" customHeight="1" x14ac:dyDescent="0.15">
      <c r="A538" s="14"/>
      <c r="B538" s="16"/>
      <c r="C538" s="17"/>
      <c r="D538" s="17"/>
      <c r="E538" s="17"/>
      <c r="F538" s="17"/>
      <c r="G538" s="17"/>
      <c r="H538" s="18" t="s">
        <v>70</v>
      </c>
      <c r="I538" s="17"/>
      <c r="J538" s="17"/>
      <c r="K538" s="17"/>
      <c r="L538" s="14"/>
    </row>
    <row r="539" spans="1:12" ht="21.75" customHeight="1" x14ac:dyDescent="0.15">
      <c r="A539" s="14"/>
      <c r="B539" s="16"/>
      <c r="C539" s="17"/>
      <c r="D539" s="17"/>
      <c r="E539" s="17"/>
      <c r="F539" s="17"/>
      <c r="G539" s="17"/>
      <c r="H539" s="18" t="s">
        <v>70</v>
      </c>
      <c r="I539" s="17"/>
      <c r="J539" s="17"/>
      <c r="K539" s="17"/>
      <c r="L539" s="14"/>
    </row>
    <row r="540" spans="1:12" ht="21.75" customHeight="1" x14ac:dyDescent="0.15">
      <c r="A540" s="14"/>
      <c r="B540" s="16"/>
      <c r="C540" s="17"/>
      <c r="D540" s="17"/>
      <c r="E540" s="17"/>
      <c r="F540" s="17"/>
      <c r="G540" s="17"/>
      <c r="H540" s="18" t="s">
        <v>70</v>
      </c>
      <c r="I540" s="17"/>
      <c r="J540" s="17"/>
      <c r="K540" s="17"/>
      <c r="L540" s="14"/>
    </row>
    <row r="541" spans="1:12" ht="21.75" customHeight="1" x14ac:dyDescent="0.15">
      <c r="A541" s="14"/>
      <c r="B541" s="16"/>
      <c r="C541" s="17"/>
      <c r="D541" s="17"/>
      <c r="E541" s="17"/>
      <c r="F541" s="17"/>
      <c r="G541" s="17"/>
      <c r="H541" s="18" t="s">
        <v>70</v>
      </c>
      <c r="I541" s="17"/>
      <c r="J541" s="17"/>
      <c r="K541" s="17"/>
      <c r="L541" s="14"/>
    </row>
    <row r="542" spans="1:12" ht="21.75" customHeight="1" x14ac:dyDescent="0.15">
      <c r="A542" s="14"/>
      <c r="B542" s="16"/>
      <c r="C542" s="17"/>
      <c r="D542" s="17"/>
      <c r="E542" s="17"/>
      <c r="F542" s="17"/>
      <c r="G542" s="17"/>
      <c r="H542" s="18" t="s">
        <v>70</v>
      </c>
      <c r="I542" s="17"/>
      <c r="J542" s="17"/>
      <c r="K542" s="17"/>
      <c r="L542" s="14"/>
    </row>
    <row r="543" spans="1:12" ht="21.75" customHeight="1" x14ac:dyDescent="0.15">
      <c r="A543" s="14"/>
      <c r="B543" s="16"/>
      <c r="C543" s="17"/>
      <c r="D543" s="17"/>
      <c r="E543" s="17"/>
      <c r="F543" s="17"/>
      <c r="G543" s="17"/>
      <c r="H543" s="18" t="s">
        <v>70</v>
      </c>
      <c r="I543" s="17"/>
      <c r="J543" s="17"/>
      <c r="K543" s="17"/>
      <c r="L543" s="14"/>
    </row>
    <row r="544" spans="1:12" ht="21.75" customHeight="1" x14ac:dyDescent="0.15">
      <c r="A544" s="14"/>
      <c r="B544" s="16"/>
      <c r="C544" s="17"/>
      <c r="D544" s="17"/>
      <c r="E544" s="17"/>
      <c r="F544" s="17"/>
      <c r="G544" s="17"/>
      <c r="H544" s="18" t="s">
        <v>70</v>
      </c>
      <c r="I544" s="17"/>
      <c r="J544" s="17"/>
      <c r="K544" s="17"/>
      <c r="L544" s="14"/>
    </row>
    <row r="545" spans="1:12" ht="21.75" customHeight="1" x14ac:dyDescent="0.15">
      <c r="A545" s="14"/>
      <c r="B545" s="16"/>
      <c r="C545" s="17"/>
      <c r="D545" s="17"/>
      <c r="E545" s="17"/>
      <c r="F545" s="17"/>
      <c r="G545" s="17"/>
      <c r="H545" s="18" t="s">
        <v>70</v>
      </c>
      <c r="I545" s="17"/>
      <c r="J545" s="17"/>
      <c r="K545" s="17"/>
      <c r="L545" s="14"/>
    </row>
    <row r="546" spans="1:12" ht="21.75" customHeight="1" x14ac:dyDescent="0.15">
      <c r="A546" s="14"/>
      <c r="B546" s="16"/>
      <c r="C546" s="17"/>
      <c r="D546" s="17"/>
      <c r="E546" s="17"/>
      <c r="F546" s="17"/>
      <c r="G546" s="17"/>
      <c r="H546" s="18" t="s">
        <v>70</v>
      </c>
      <c r="I546" s="17"/>
      <c r="J546" s="17"/>
      <c r="K546" s="17"/>
      <c r="L546" s="14"/>
    </row>
    <row r="547" spans="1:12" ht="21.75" customHeight="1" x14ac:dyDescent="0.15">
      <c r="A547" s="14"/>
      <c r="B547" s="16"/>
      <c r="C547" s="17"/>
      <c r="D547" s="17"/>
      <c r="E547" s="17"/>
      <c r="F547" s="17"/>
      <c r="G547" s="17"/>
      <c r="H547" s="18" t="s">
        <v>70</v>
      </c>
      <c r="I547" s="17"/>
      <c r="J547" s="17"/>
      <c r="K547" s="17"/>
      <c r="L547" s="14"/>
    </row>
    <row r="548" spans="1:12" ht="21.75" customHeight="1" x14ac:dyDescent="0.15">
      <c r="A548" s="14"/>
      <c r="B548" s="16"/>
      <c r="C548" s="17"/>
      <c r="D548" s="17"/>
      <c r="E548" s="17"/>
      <c r="F548" s="17"/>
      <c r="G548" s="17"/>
      <c r="H548" s="18" t="s">
        <v>70</v>
      </c>
      <c r="I548" s="17"/>
      <c r="J548" s="17"/>
      <c r="K548" s="17"/>
      <c r="L548" s="14"/>
    </row>
    <row r="549" spans="1:12" ht="21.75" customHeight="1" x14ac:dyDescent="0.15">
      <c r="A549" s="14"/>
      <c r="B549" s="16"/>
      <c r="C549" s="17"/>
      <c r="D549" s="17"/>
      <c r="E549" s="17"/>
      <c r="F549" s="17"/>
      <c r="G549" s="17"/>
      <c r="H549" s="18" t="s">
        <v>70</v>
      </c>
      <c r="I549" s="17"/>
      <c r="J549" s="17"/>
      <c r="K549" s="17"/>
      <c r="L549" s="14"/>
    </row>
    <row r="550" spans="1:12" ht="21.75" customHeight="1" x14ac:dyDescent="0.15">
      <c r="A550" s="14"/>
      <c r="B550" s="16"/>
      <c r="C550" s="17"/>
      <c r="D550" s="17"/>
      <c r="E550" s="17"/>
      <c r="F550" s="17"/>
      <c r="G550" s="17"/>
      <c r="H550" s="18" t="s">
        <v>70</v>
      </c>
      <c r="I550" s="17"/>
      <c r="J550" s="17"/>
      <c r="K550" s="17"/>
      <c r="L550" s="14"/>
    </row>
    <row r="551" spans="1:12" ht="21.75" customHeight="1" x14ac:dyDescent="0.15">
      <c r="A551" s="14"/>
      <c r="B551" s="16"/>
      <c r="C551" s="17"/>
      <c r="D551" s="17"/>
      <c r="E551" s="17"/>
      <c r="F551" s="17"/>
      <c r="G551" s="17"/>
      <c r="H551" s="18" t="s">
        <v>70</v>
      </c>
      <c r="I551" s="17"/>
      <c r="J551" s="17"/>
      <c r="K551" s="17"/>
      <c r="L551" s="14"/>
    </row>
    <row r="552" spans="1:12" ht="21.75" customHeight="1" x14ac:dyDescent="0.15">
      <c r="A552" s="14"/>
      <c r="B552" s="16"/>
      <c r="C552" s="17"/>
      <c r="D552" s="17"/>
      <c r="E552" s="17"/>
      <c r="F552" s="17"/>
      <c r="G552" s="17"/>
      <c r="H552" s="18" t="s">
        <v>70</v>
      </c>
      <c r="I552" s="17"/>
      <c r="J552" s="17"/>
      <c r="K552" s="17"/>
      <c r="L552" s="14"/>
    </row>
    <row r="553" spans="1:12" ht="21.75" customHeight="1" x14ac:dyDescent="0.15">
      <c r="A553" s="14"/>
      <c r="B553" s="16"/>
      <c r="C553" s="17"/>
      <c r="D553" s="17"/>
      <c r="E553" s="17"/>
      <c r="F553" s="17"/>
      <c r="G553" s="17"/>
      <c r="H553" s="18" t="s">
        <v>70</v>
      </c>
      <c r="I553" s="17"/>
      <c r="J553" s="17"/>
      <c r="K553" s="17"/>
      <c r="L553" s="14"/>
    </row>
    <row r="554" spans="1:12" ht="21.75" customHeight="1" x14ac:dyDescent="0.15">
      <c r="A554" s="14"/>
      <c r="B554" s="16"/>
      <c r="C554" s="17"/>
      <c r="D554" s="17"/>
      <c r="E554" s="17"/>
      <c r="F554" s="17"/>
      <c r="G554" s="17"/>
      <c r="H554" s="18" t="s">
        <v>70</v>
      </c>
      <c r="I554" s="17"/>
      <c r="J554" s="17"/>
      <c r="K554" s="17"/>
      <c r="L554" s="14"/>
    </row>
    <row r="555" spans="1:12" ht="21.75" customHeight="1" x14ac:dyDescent="0.15">
      <c r="A555" s="14"/>
      <c r="B555" s="16"/>
      <c r="C555" s="17"/>
      <c r="D555" s="17"/>
      <c r="E555" s="17"/>
      <c r="F555" s="17"/>
      <c r="G555" s="17"/>
      <c r="H555" s="18" t="s">
        <v>70</v>
      </c>
      <c r="I555" s="17"/>
      <c r="J555" s="17"/>
      <c r="K555" s="17"/>
      <c r="L555" s="14"/>
    </row>
    <row r="556" spans="1:12" ht="21.75" customHeight="1" x14ac:dyDescent="0.15">
      <c r="A556" s="14"/>
      <c r="B556" s="16"/>
      <c r="C556" s="17"/>
      <c r="D556" s="17"/>
      <c r="E556" s="17"/>
      <c r="F556" s="17"/>
      <c r="G556" s="17"/>
      <c r="H556" s="18" t="s">
        <v>70</v>
      </c>
      <c r="I556" s="17"/>
      <c r="J556" s="17"/>
      <c r="K556" s="17"/>
      <c r="L556" s="14"/>
    </row>
    <row r="557" spans="1:12" ht="21.75" customHeight="1" x14ac:dyDescent="0.15">
      <c r="A557" s="14"/>
      <c r="B557" s="16"/>
      <c r="C557" s="17"/>
      <c r="D557" s="17"/>
      <c r="E557" s="17"/>
      <c r="F557" s="17"/>
      <c r="G557" s="17"/>
      <c r="H557" s="18" t="s">
        <v>70</v>
      </c>
      <c r="I557" s="17"/>
      <c r="J557" s="17"/>
      <c r="K557" s="17"/>
      <c r="L557" s="14"/>
    </row>
    <row r="558" spans="1:12" ht="21.75" customHeight="1" x14ac:dyDescent="0.15">
      <c r="A558" s="14"/>
      <c r="B558" s="16"/>
      <c r="C558" s="17"/>
      <c r="D558" s="17"/>
      <c r="E558" s="17"/>
      <c r="F558" s="17"/>
      <c r="G558" s="17"/>
      <c r="H558" s="18" t="s">
        <v>70</v>
      </c>
      <c r="I558" s="17"/>
      <c r="J558" s="17"/>
      <c r="K558" s="17"/>
      <c r="L558" s="14"/>
    </row>
    <row r="559" spans="1:12" ht="21.75" customHeight="1" x14ac:dyDescent="0.15">
      <c r="A559" s="14"/>
      <c r="B559" s="16"/>
      <c r="C559" s="17"/>
      <c r="D559" s="17"/>
      <c r="E559" s="17"/>
      <c r="F559" s="17"/>
      <c r="G559" s="17"/>
      <c r="H559" s="18" t="s">
        <v>70</v>
      </c>
      <c r="I559" s="17"/>
      <c r="J559" s="17"/>
      <c r="K559" s="17"/>
      <c r="L559" s="14"/>
    </row>
    <row r="560" spans="1:12" ht="21.75" customHeight="1" x14ac:dyDescent="0.15">
      <c r="A560" s="14"/>
      <c r="B560" s="16"/>
      <c r="C560" s="17"/>
      <c r="D560" s="17"/>
      <c r="E560" s="17"/>
      <c r="F560" s="17"/>
      <c r="G560" s="17"/>
      <c r="H560" s="18" t="s">
        <v>70</v>
      </c>
      <c r="I560" s="17"/>
      <c r="J560" s="17"/>
      <c r="K560" s="17"/>
      <c r="L560" s="14"/>
    </row>
    <row r="561" spans="1:12" ht="21.75" customHeight="1" x14ac:dyDescent="0.15">
      <c r="A561" s="14"/>
      <c r="B561" s="16"/>
      <c r="C561" s="17"/>
      <c r="D561" s="17"/>
      <c r="E561" s="17"/>
      <c r="F561" s="17"/>
      <c r="G561" s="17"/>
      <c r="H561" s="18" t="s">
        <v>70</v>
      </c>
      <c r="I561" s="17"/>
      <c r="J561" s="17"/>
      <c r="K561" s="17"/>
      <c r="L561" s="14"/>
    </row>
    <row r="562" spans="1:12" ht="21.75" customHeight="1" x14ac:dyDescent="0.15">
      <c r="A562" s="14"/>
      <c r="B562" s="16"/>
      <c r="C562" s="17"/>
      <c r="D562" s="17"/>
      <c r="E562" s="17"/>
      <c r="F562" s="17"/>
      <c r="G562" s="17"/>
      <c r="H562" s="18" t="s">
        <v>70</v>
      </c>
      <c r="I562" s="17"/>
      <c r="J562" s="17"/>
      <c r="K562" s="17"/>
      <c r="L562" s="14"/>
    </row>
    <row r="563" spans="1:12" ht="21.75" customHeight="1" x14ac:dyDescent="0.15">
      <c r="A563" s="14"/>
      <c r="B563" s="16"/>
      <c r="C563" s="17"/>
      <c r="D563" s="17"/>
      <c r="E563" s="17"/>
      <c r="F563" s="17"/>
      <c r="G563" s="17"/>
      <c r="H563" s="18" t="s">
        <v>70</v>
      </c>
      <c r="I563" s="17"/>
      <c r="J563" s="17"/>
      <c r="K563" s="17"/>
      <c r="L563" s="14"/>
    </row>
    <row r="564" spans="1:12" ht="21.75" customHeight="1" x14ac:dyDescent="0.15">
      <c r="A564" s="14"/>
      <c r="B564" s="16"/>
      <c r="C564" s="17"/>
      <c r="D564" s="17"/>
      <c r="E564" s="17"/>
      <c r="F564" s="17"/>
      <c r="G564" s="17"/>
      <c r="H564" s="18" t="s">
        <v>70</v>
      </c>
      <c r="I564" s="17"/>
      <c r="J564" s="17"/>
      <c r="K564" s="17"/>
      <c r="L564" s="14"/>
    </row>
    <row r="565" spans="1:12" ht="21.75" customHeight="1" x14ac:dyDescent="0.15">
      <c r="A565" s="14"/>
      <c r="B565" s="16"/>
      <c r="C565" s="17"/>
      <c r="D565" s="17"/>
      <c r="E565" s="17"/>
      <c r="F565" s="17"/>
      <c r="G565" s="17"/>
      <c r="H565" s="18" t="s">
        <v>70</v>
      </c>
      <c r="I565" s="17"/>
      <c r="J565" s="17"/>
      <c r="K565" s="17"/>
      <c r="L565" s="14"/>
    </row>
    <row r="566" spans="1:12" ht="21.75" customHeight="1" x14ac:dyDescent="0.15">
      <c r="A566" s="14"/>
      <c r="B566" s="16"/>
      <c r="C566" s="17"/>
      <c r="D566" s="17"/>
      <c r="E566" s="17"/>
      <c r="F566" s="17"/>
      <c r="G566" s="17"/>
      <c r="H566" s="18" t="s">
        <v>70</v>
      </c>
      <c r="I566" s="17"/>
      <c r="J566" s="17"/>
      <c r="K566" s="17"/>
      <c r="L566" s="14"/>
    </row>
    <row r="567" spans="1:12" ht="21.75" customHeight="1" x14ac:dyDescent="0.15">
      <c r="A567" s="14"/>
      <c r="B567" s="16"/>
      <c r="C567" s="17"/>
      <c r="D567" s="17"/>
      <c r="E567" s="17"/>
      <c r="F567" s="17"/>
      <c r="G567" s="17"/>
      <c r="H567" s="18" t="s">
        <v>70</v>
      </c>
      <c r="I567" s="17"/>
      <c r="J567" s="17"/>
      <c r="K567" s="17"/>
      <c r="L567" s="14"/>
    </row>
    <row r="568" spans="1:12" ht="21.75" customHeight="1" x14ac:dyDescent="0.15">
      <c r="A568" s="14"/>
      <c r="B568" s="16"/>
      <c r="C568" s="17"/>
      <c r="D568" s="17"/>
      <c r="E568" s="17"/>
      <c r="F568" s="17"/>
      <c r="G568" s="17"/>
      <c r="H568" s="18" t="s">
        <v>70</v>
      </c>
      <c r="I568" s="17"/>
      <c r="J568" s="17"/>
      <c r="K568" s="17"/>
      <c r="L568" s="14"/>
    </row>
    <row r="569" spans="1:12" ht="21.75" customHeight="1" x14ac:dyDescent="0.15">
      <c r="A569" s="14"/>
      <c r="B569" s="16"/>
      <c r="C569" s="17"/>
      <c r="D569" s="17"/>
      <c r="E569" s="17"/>
      <c r="F569" s="17"/>
      <c r="G569" s="17"/>
      <c r="H569" s="18" t="s">
        <v>70</v>
      </c>
      <c r="I569" s="17"/>
      <c r="J569" s="17"/>
      <c r="K569" s="17"/>
      <c r="L569" s="14"/>
    </row>
    <row r="570" spans="1:12" ht="21.75" customHeight="1" x14ac:dyDescent="0.15">
      <c r="A570" s="14"/>
      <c r="B570" s="16"/>
      <c r="C570" s="17"/>
      <c r="D570" s="17"/>
      <c r="E570" s="17"/>
      <c r="F570" s="17"/>
      <c r="G570" s="17"/>
      <c r="H570" s="18" t="s">
        <v>70</v>
      </c>
      <c r="I570" s="17"/>
      <c r="J570" s="17"/>
      <c r="K570" s="17"/>
      <c r="L570" s="14"/>
    </row>
    <row r="571" spans="1:12" ht="21.75" customHeight="1" x14ac:dyDescent="0.15">
      <c r="A571" s="14"/>
      <c r="B571" s="16"/>
      <c r="C571" s="17"/>
      <c r="D571" s="17"/>
      <c r="E571" s="17"/>
      <c r="F571" s="17"/>
      <c r="G571" s="17"/>
      <c r="H571" s="18" t="s">
        <v>70</v>
      </c>
      <c r="I571" s="17"/>
      <c r="J571" s="17"/>
      <c r="K571" s="17"/>
      <c r="L571" s="14"/>
    </row>
    <row r="572" spans="1:12" ht="21.75" customHeight="1" x14ac:dyDescent="0.15">
      <c r="A572" s="14"/>
      <c r="B572" s="16"/>
      <c r="C572" s="17"/>
      <c r="D572" s="17"/>
      <c r="E572" s="17"/>
      <c r="F572" s="17"/>
      <c r="G572" s="17"/>
      <c r="H572" s="18" t="s">
        <v>70</v>
      </c>
      <c r="I572" s="17"/>
      <c r="J572" s="17"/>
      <c r="K572" s="17"/>
      <c r="L572" s="14"/>
    </row>
    <row r="573" spans="1:12" ht="21.75" customHeight="1" x14ac:dyDescent="0.15">
      <c r="A573" s="14"/>
      <c r="B573" s="16"/>
      <c r="C573" s="17"/>
      <c r="D573" s="17"/>
      <c r="E573" s="17"/>
      <c r="F573" s="17"/>
      <c r="G573" s="17"/>
      <c r="H573" s="18" t="s">
        <v>70</v>
      </c>
      <c r="I573" s="17"/>
      <c r="J573" s="17"/>
      <c r="K573" s="17"/>
      <c r="L573" s="14"/>
    </row>
    <row r="574" spans="1:12" ht="21.75" customHeight="1" x14ac:dyDescent="0.15">
      <c r="A574" s="14"/>
      <c r="B574" s="16"/>
      <c r="C574" s="17"/>
      <c r="D574" s="17"/>
      <c r="E574" s="17"/>
      <c r="F574" s="17"/>
      <c r="G574" s="17"/>
      <c r="H574" s="18" t="s">
        <v>70</v>
      </c>
      <c r="I574" s="17"/>
      <c r="J574" s="17"/>
      <c r="K574" s="17"/>
      <c r="L574" s="14"/>
    </row>
    <row r="575" spans="1:12" ht="21.75" customHeight="1" x14ac:dyDescent="0.15">
      <c r="A575" s="14"/>
      <c r="B575" s="16"/>
      <c r="C575" s="17"/>
      <c r="D575" s="17"/>
      <c r="E575" s="17"/>
      <c r="F575" s="17"/>
      <c r="G575" s="17"/>
      <c r="H575" s="18" t="s">
        <v>70</v>
      </c>
      <c r="I575" s="17"/>
      <c r="J575" s="17"/>
      <c r="K575" s="17"/>
      <c r="L575" s="14"/>
    </row>
    <row r="576" spans="1:12" ht="21.75" customHeight="1" x14ac:dyDescent="0.15">
      <c r="A576" s="14"/>
      <c r="B576" s="16"/>
      <c r="C576" s="17"/>
      <c r="D576" s="17"/>
      <c r="E576" s="17"/>
      <c r="F576" s="17"/>
      <c r="G576" s="17"/>
      <c r="H576" s="18" t="s">
        <v>70</v>
      </c>
      <c r="I576" s="17"/>
      <c r="J576" s="17"/>
      <c r="K576" s="17"/>
      <c r="L576" s="14"/>
    </row>
    <row r="577" spans="1:12" ht="21.75" customHeight="1" x14ac:dyDescent="0.15">
      <c r="A577" s="14"/>
      <c r="B577" s="16"/>
      <c r="C577" s="17"/>
      <c r="D577" s="17"/>
      <c r="E577" s="17"/>
      <c r="F577" s="17"/>
      <c r="G577" s="17"/>
      <c r="H577" s="18" t="s">
        <v>70</v>
      </c>
      <c r="I577" s="17"/>
      <c r="J577" s="17"/>
      <c r="K577" s="17"/>
      <c r="L577" s="14"/>
    </row>
    <row r="578" spans="1:12" ht="21.75" customHeight="1" x14ac:dyDescent="0.15">
      <c r="A578" s="14"/>
      <c r="B578" s="16"/>
      <c r="C578" s="17"/>
      <c r="D578" s="17"/>
      <c r="E578" s="17"/>
      <c r="F578" s="17"/>
      <c r="G578" s="17"/>
      <c r="H578" s="18" t="s">
        <v>70</v>
      </c>
      <c r="I578" s="17"/>
      <c r="J578" s="17"/>
      <c r="K578" s="17"/>
      <c r="L578" s="14"/>
    </row>
    <row r="579" spans="1:12" ht="21.75" customHeight="1" x14ac:dyDescent="0.15">
      <c r="A579" s="14"/>
      <c r="B579" s="16"/>
      <c r="C579" s="17"/>
      <c r="D579" s="17"/>
      <c r="E579" s="17"/>
      <c r="F579" s="17"/>
      <c r="G579" s="17"/>
      <c r="H579" s="18" t="s">
        <v>70</v>
      </c>
      <c r="I579" s="17"/>
      <c r="J579" s="17"/>
      <c r="K579" s="17"/>
      <c r="L579" s="14"/>
    </row>
    <row r="580" spans="1:12" ht="21.75" customHeight="1" x14ac:dyDescent="0.15">
      <c r="A580" s="14"/>
      <c r="B580" s="16"/>
      <c r="C580" s="17"/>
      <c r="D580" s="17"/>
      <c r="E580" s="17"/>
      <c r="F580" s="17"/>
      <c r="G580" s="17"/>
      <c r="H580" s="18" t="s">
        <v>70</v>
      </c>
      <c r="I580" s="17"/>
      <c r="J580" s="17"/>
      <c r="K580" s="17"/>
      <c r="L580" s="14"/>
    </row>
    <row r="581" spans="1:12" ht="21.75" customHeight="1" x14ac:dyDescent="0.15">
      <c r="A581" s="14"/>
      <c r="B581" s="16"/>
      <c r="C581" s="17"/>
      <c r="D581" s="17"/>
      <c r="E581" s="17"/>
      <c r="F581" s="17"/>
      <c r="G581" s="17"/>
      <c r="H581" s="18" t="s">
        <v>70</v>
      </c>
      <c r="I581" s="17"/>
      <c r="J581" s="17"/>
      <c r="K581" s="17"/>
      <c r="L581" s="14"/>
    </row>
    <row r="582" spans="1:12" ht="21.75" customHeight="1" x14ac:dyDescent="0.15">
      <c r="A582" s="14"/>
      <c r="B582" s="16"/>
      <c r="C582" s="17"/>
      <c r="D582" s="17"/>
      <c r="E582" s="17"/>
      <c r="F582" s="17"/>
      <c r="G582" s="17"/>
      <c r="H582" s="18" t="s">
        <v>70</v>
      </c>
      <c r="I582" s="17"/>
      <c r="J582" s="17"/>
      <c r="K582" s="17"/>
      <c r="L582" s="14"/>
    </row>
    <row r="583" spans="1:12" ht="21.75" customHeight="1" x14ac:dyDescent="0.15">
      <c r="A583" s="14"/>
      <c r="B583" s="16"/>
      <c r="C583" s="17"/>
      <c r="D583" s="17"/>
      <c r="E583" s="17"/>
      <c r="F583" s="17"/>
      <c r="G583" s="17"/>
      <c r="H583" s="18" t="s">
        <v>70</v>
      </c>
      <c r="I583" s="17"/>
      <c r="J583" s="17"/>
      <c r="K583" s="17"/>
      <c r="L583" s="14"/>
    </row>
    <row r="584" spans="1:12" ht="21.75" customHeight="1" x14ac:dyDescent="0.15">
      <c r="A584" s="14"/>
      <c r="B584" s="16"/>
      <c r="C584" s="17"/>
      <c r="D584" s="17"/>
      <c r="E584" s="17"/>
      <c r="F584" s="17"/>
      <c r="G584" s="17"/>
      <c r="H584" s="18" t="s">
        <v>70</v>
      </c>
      <c r="I584" s="17"/>
      <c r="J584" s="17"/>
      <c r="K584" s="17"/>
      <c r="L584" s="14"/>
    </row>
    <row r="585" spans="1:12" ht="21.75" customHeight="1" x14ac:dyDescent="0.15">
      <c r="A585" s="14"/>
      <c r="B585" s="16"/>
      <c r="C585" s="17"/>
      <c r="D585" s="17"/>
      <c r="E585" s="17"/>
      <c r="F585" s="17"/>
      <c r="G585" s="17"/>
      <c r="H585" s="18" t="s">
        <v>70</v>
      </c>
      <c r="I585" s="17"/>
      <c r="J585" s="17"/>
      <c r="K585" s="17"/>
      <c r="L585" s="14"/>
    </row>
    <row r="586" spans="1:12" ht="21.75" customHeight="1" x14ac:dyDescent="0.15">
      <c r="A586" s="14"/>
      <c r="B586" s="16"/>
      <c r="C586" s="17"/>
      <c r="D586" s="17"/>
      <c r="E586" s="17"/>
      <c r="F586" s="17"/>
      <c r="G586" s="17"/>
      <c r="H586" s="18" t="s">
        <v>70</v>
      </c>
      <c r="I586" s="17"/>
      <c r="J586" s="17"/>
      <c r="K586" s="17"/>
      <c r="L586" s="14"/>
    </row>
    <row r="587" spans="1:12" ht="21.75" customHeight="1" x14ac:dyDescent="0.15">
      <c r="A587" s="14"/>
      <c r="B587" s="16"/>
      <c r="C587" s="17"/>
      <c r="D587" s="17"/>
      <c r="E587" s="17"/>
      <c r="F587" s="17"/>
      <c r="G587" s="17"/>
      <c r="H587" s="18" t="s">
        <v>70</v>
      </c>
      <c r="I587" s="17"/>
      <c r="J587" s="17"/>
      <c r="K587" s="17"/>
      <c r="L587" s="14"/>
    </row>
    <row r="588" spans="1:12" ht="21.75" customHeight="1" x14ac:dyDescent="0.15">
      <c r="A588" s="14"/>
      <c r="B588" s="16"/>
      <c r="C588" s="17"/>
      <c r="D588" s="17"/>
      <c r="E588" s="17"/>
      <c r="F588" s="17"/>
      <c r="G588" s="17"/>
      <c r="H588" s="18" t="s">
        <v>70</v>
      </c>
      <c r="I588" s="17"/>
      <c r="J588" s="17"/>
      <c r="K588" s="17"/>
      <c r="L588" s="14"/>
    </row>
    <row r="589" spans="1:12" ht="21.75" customHeight="1" x14ac:dyDescent="0.15">
      <c r="A589" s="14"/>
      <c r="B589" s="16"/>
      <c r="C589" s="17"/>
      <c r="D589" s="17"/>
      <c r="E589" s="17"/>
      <c r="F589" s="17"/>
      <c r="G589" s="17"/>
      <c r="H589" s="18" t="s">
        <v>70</v>
      </c>
      <c r="I589" s="17"/>
      <c r="J589" s="17"/>
      <c r="K589" s="17"/>
      <c r="L589" s="14"/>
    </row>
    <row r="590" spans="1:12" ht="21.75" customHeight="1" x14ac:dyDescent="0.15">
      <c r="A590" s="14"/>
      <c r="B590" s="16"/>
      <c r="C590" s="17"/>
      <c r="D590" s="17"/>
      <c r="E590" s="17"/>
      <c r="F590" s="17"/>
      <c r="G590" s="17"/>
      <c r="H590" s="18" t="s">
        <v>70</v>
      </c>
      <c r="I590" s="17"/>
      <c r="J590" s="17"/>
      <c r="K590" s="17"/>
      <c r="L590" s="14"/>
    </row>
    <row r="591" spans="1:12" ht="21.75" customHeight="1" x14ac:dyDescent="0.15">
      <c r="A591" s="14"/>
      <c r="B591" s="16"/>
      <c r="C591" s="17"/>
      <c r="D591" s="17"/>
      <c r="E591" s="17"/>
      <c r="F591" s="17"/>
      <c r="G591" s="17"/>
      <c r="H591" s="18" t="s">
        <v>70</v>
      </c>
      <c r="I591" s="17"/>
      <c r="J591" s="17"/>
      <c r="K591" s="17"/>
      <c r="L591" s="14"/>
    </row>
    <row r="592" spans="1:12" ht="21.75" customHeight="1" x14ac:dyDescent="0.15">
      <c r="A592" s="14"/>
      <c r="B592" s="16"/>
      <c r="C592" s="17"/>
      <c r="D592" s="17"/>
      <c r="E592" s="17"/>
      <c r="F592" s="17"/>
      <c r="G592" s="17"/>
      <c r="H592" s="18" t="s">
        <v>70</v>
      </c>
      <c r="I592" s="17"/>
      <c r="J592" s="17"/>
      <c r="K592" s="17"/>
      <c r="L592" s="14"/>
    </row>
    <row r="593" spans="1:12" ht="21.75" customHeight="1" x14ac:dyDescent="0.15">
      <c r="A593" s="14"/>
      <c r="B593" s="16"/>
      <c r="C593" s="17"/>
      <c r="D593" s="17"/>
      <c r="E593" s="17"/>
      <c r="F593" s="17"/>
      <c r="G593" s="17"/>
      <c r="H593" s="18" t="s">
        <v>70</v>
      </c>
      <c r="I593" s="17"/>
      <c r="J593" s="17"/>
      <c r="K593" s="17"/>
      <c r="L593" s="14"/>
    </row>
    <row r="594" spans="1:12" ht="21.75" customHeight="1" x14ac:dyDescent="0.15">
      <c r="A594" s="14"/>
      <c r="B594" s="16"/>
      <c r="C594" s="17"/>
      <c r="D594" s="17"/>
      <c r="E594" s="17"/>
      <c r="F594" s="17"/>
      <c r="G594" s="17"/>
      <c r="H594" s="18" t="s">
        <v>70</v>
      </c>
      <c r="I594" s="17"/>
      <c r="J594" s="17"/>
      <c r="K594" s="17"/>
      <c r="L594" s="14"/>
    </row>
    <row r="595" spans="1:12" ht="21.75" customHeight="1" x14ac:dyDescent="0.15">
      <c r="A595" s="14"/>
      <c r="B595" s="16"/>
      <c r="C595" s="17"/>
      <c r="D595" s="17"/>
      <c r="E595" s="17"/>
      <c r="F595" s="17"/>
      <c r="G595" s="17"/>
      <c r="H595" s="18" t="s">
        <v>70</v>
      </c>
      <c r="I595" s="17"/>
      <c r="J595" s="17"/>
      <c r="K595" s="17"/>
      <c r="L595" s="14"/>
    </row>
    <row r="596" spans="1:12" ht="21.75" customHeight="1" x14ac:dyDescent="0.15">
      <c r="A596" s="14"/>
      <c r="B596" s="16"/>
      <c r="C596" s="17"/>
      <c r="D596" s="17"/>
      <c r="E596" s="17"/>
      <c r="F596" s="17"/>
      <c r="G596" s="17"/>
      <c r="H596" s="18" t="s">
        <v>70</v>
      </c>
      <c r="I596" s="17"/>
      <c r="J596" s="17"/>
      <c r="K596" s="17"/>
      <c r="L596" s="14"/>
    </row>
    <row r="597" spans="1:12" ht="21.75" customHeight="1" x14ac:dyDescent="0.15">
      <c r="A597" s="14"/>
      <c r="B597" s="16"/>
      <c r="C597" s="17"/>
      <c r="D597" s="17"/>
      <c r="E597" s="17"/>
      <c r="F597" s="17"/>
      <c r="G597" s="17"/>
      <c r="H597" s="18" t="s">
        <v>70</v>
      </c>
      <c r="I597" s="17"/>
      <c r="J597" s="17"/>
      <c r="K597" s="17"/>
      <c r="L597" s="14"/>
    </row>
    <row r="598" spans="1:12" ht="21.75" customHeight="1" x14ac:dyDescent="0.15">
      <c r="A598" s="14"/>
      <c r="B598" s="16"/>
      <c r="C598" s="17"/>
      <c r="D598" s="17"/>
      <c r="E598" s="17"/>
      <c r="F598" s="17"/>
      <c r="G598" s="17"/>
      <c r="H598" s="18" t="s">
        <v>70</v>
      </c>
      <c r="I598" s="17"/>
      <c r="J598" s="17"/>
      <c r="K598" s="17"/>
      <c r="L598" s="14"/>
    </row>
    <row r="599" spans="1:12" ht="21.75" customHeight="1" x14ac:dyDescent="0.15">
      <c r="A599" s="14"/>
      <c r="B599" s="16"/>
      <c r="C599" s="17"/>
      <c r="D599" s="17"/>
      <c r="E599" s="17"/>
      <c r="F599" s="17"/>
      <c r="G599" s="17"/>
      <c r="H599" s="18" t="s">
        <v>70</v>
      </c>
      <c r="I599" s="17"/>
      <c r="J599" s="17"/>
      <c r="K599" s="17"/>
      <c r="L599" s="14"/>
    </row>
    <row r="600" spans="1:12" ht="21.75" customHeight="1" x14ac:dyDescent="0.15">
      <c r="A600" s="14"/>
      <c r="B600" s="16"/>
      <c r="C600" s="17"/>
      <c r="D600" s="17"/>
      <c r="E600" s="17"/>
      <c r="F600" s="17"/>
      <c r="G600" s="17"/>
      <c r="H600" s="18" t="s">
        <v>70</v>
      </c>
      <c r="I600" s="17"/>
      <c r="J600" s="17"/>
      <c r="K600" s="17"/>
      <c r="L600" s="14"/>
    </row>
    <row r="601" spans="1:12" ht="21.75" customHeight="1" x14ac:dyDescent="0.15">
      <c r="A601" s="14"/>
      <c r="B601" s="16"/>
      <c r="C601" s="17"/>
      <c r="D601" s="17"/>
      <c r="E601" s="17"/>
      <c r="F601" s="17"/>
      <c r="G601" s="17"/>
      <c r="H601" s="18" t="s">
        <v>70</v>
      </c>
      <c r="I601" s="17"/>
      <c r="J601" s="17"/>
      <c r="K601" s="17"/>
      <c r="L601" s="14"/>
    </row>
    <row r="602" spans="1:12" ht="21.75" customHeight="1" x14ac:dyDescent="0.15">
      <c r="A602" s="14"/>
      <c r="B602" s="16"/>
      <c r="C602" s="17"/>
      <c r="D602" s="17"/>
      <c r="E602" s="17"/>
      <c r="F602" s="17"/>
      <c r="G602" s="17"/>
      <c r="H602" s="18" t="s">
        <v>70</v>
      </c>
      <c r="I602" s="17"/>
      <c r="J602" s="17"/>
      <c r="K602" s="17"/>
      <c r="L602" s="14"/>
    </row>
    <row r="603" spans="1:12" ht="21.75" customHeight="1" x14ac:dyDescent="0.15">
      <c r="A603" s="14"/>
      <c r="B603" s="16"/>
      <c r="C603" s="17"/>
      <c r="D603" s="17"/>
      <c r="E603" s="17"/>
      <c r="F603" s="17"/>
      <c r="G603" s="17"/>
      <c r="H603" s="18" t="s">
        <v>70</v>
      </c>
      <c r="I603" s="17"/>
      <c r="J603" s="17"/>
      <c r="K603" s="17"/>
      <c r="L603" s="14"/>
    </row>
    <row r="604" spans="1:12" ht="21.75" customHeight="1" x14ac:dyDescent="0.15">
      <c r="A604" s="14"/>
      <c r="B604" s="16"/>
      <c r="C604" s="17"/>
      <c r="D604" s="17"/>
      <c r="E604" s="17"/>
      <c r="F604" s="17"/>
      <c r="G604" s="17"/>
      <c r="H604" s="18" t="s">
        <v>70</v>
      </c>
      <c r="I604" s="17"/>
      <c r="J604" s="17"/>
      <c r="K604" s="17"/>
      <c r="L604" s="14"/>
    </row>
    <row r="605" spans="1:12" ht="21.75" customHeight="1" x14ac:dyDescent="0.15">
      <c r="A605" s="14"/>
      <c r="B605" s="16"/>
      <c r="C605" s="17"/>
      <c r="D605" s="17"/>
      <c r="E605" s="17"/>
      <c r="F605" s="17"/>
      <c r="G605" s="17"/>
      <c r="H605" s="18" t="s">
        <v>70</v>
      </c>
      <c r="I605" s="17"/>
      <c r="J605" s="17"/>
      <c r="K605" s="17"/>
      <c r="L605" s="14"/>
    </row>
    <row r="606" spans="1:12" ht="21.75" customHeight="1" x14ac:dyDescent="0.15">
      <c r="A606" s="14"/>
      <c r="B606" s="16"/>
      <c r="C606" s="17"/>
      <c r="D606" s="17"/>
      <c r="E606" s="17"/>
      <c r="F606" s="17"/>
      <c r="G606" s="17"/>
      <c r="H606" s="18" t="s">
        <v>70</v>
      </c>
      <c r="I606" s="17"/>
      <c r="J606" s="17"/>
      <c r="K606" s="17"/>
      <c r="L606" s="14"/>
    </row>
    <row r="607" spans="1:12" ht="21.75" customHeight="1" x14ac:dyDescent="0.15">
      <c r="A607" s="14"/>
      <c r="B607" s="16"/>
      <c r="C607" s="17"/>
      <c r="D607" s="17"/>
      <c r="E607" s="17"/>
      <c r="F607" s="17"/>
      <c r="G607" s="17"/>
      <c r="H607" s="18" t="s">
        <v>70</v>
      </c>
      <c r="I607" s="17"/>
      <c r="J607" s="17"/>
      <c r="K607" s="17"/>
      <c r="L607" s="14"/>
    </row>
    <row r="608" spans="1:12" ht="21.75" customHeight="1" x14ac:dyDescent="0.15">
      <c r="A608" s="14"/>
      <c r="B608" s="16"/>
      <c r="C608" s="17"/>
      <c r="D608" s="17"/>
      <c r="E608" s="17"/>
      <c r="F608" s="17"/>
      <c r="G608" s="17"/>
      <c r="H608" s="18" t="s">
        <v>70</v>
      </c>
      <c r="I608" s="17"/>
      <c r="J608" s="17"/>
      <c r="K608" s="17"/>
      <c r="L608" s="14"/>
    </row>
    <row r="609" spans="1:12" ht="21.75" customHeight="1" x14ac:dyDescent="0.15">
      <c r="A609" s="14"/>
      <c r="B609" s="16"/>
      <c r="C609" s="17"/>
      <c r="D609" s="17"/>
      <c r="E609" s="17"/>
      <c r="F609" s="17"/>
      <c r="G609" s="17"/>
      <c r="H609" s="18" t="s">
        <v>70</v>
      </c>
      <c r="I609" s="17"/>
      <c r="J609" s="17"/>
      <c r="K609" s="17"/>
      <c r="L609" s="14"/>
    </row>
    <row r="610" spans="1:12" ht="21.75" customHeight="1" x14ac:dyDescent="0.15">
      <c r="A610" s="14"/>
      <c r="B610" s="16"/>
      <c r="C610" s="17"/>
      <c r="D610" s="17"/>
      <c r="E610" s="17"/>
      <c r="F610" s="17"/>
      <c r="G610" s="17"/>
      <c r="H610" s="18" t="s">
        <v>70</v>
      </c>
      <c r="I610" s="17"/>
      <c r="J610" s="17"/>
      <c r="K610" s="17"/>
      <c r="L610" s="14"/>
    </row>
    <row r="611" spans="1:12" ht="21.75" customHeight="1" x14ac:dyDescent="0.15">
      <c r="A611" s="14"/>
      <c r="B611" s="16"/>
      <c r="C611" s="17"/>
      <c r="D611" s="17"/>
      <c r="E611" s="17"/>
      <c r="F611" s="17"/>
      <c r="G611" s="17"/>
      <c r="H611" s="18" t="s">
        <v>70</v>
      </c>
      <c r="I611" s="17"/>
      <c r="J611" s="17"/>
      <c r="K611" s="17"/>
      <c r="L611" s="14"/>
    </row>
    <row r="612" spans="1:12" ht="21.75" customHeight="1" x14ac:dyDescent="0.15">
      <c r="A612" s="14"/>
      <c r="B612" s="16"/>
      <c r="C612" s="17"/>
      <c r="D612" s="17"/>
      <c r="E612" s="17"/>
      <c r="F612" s="17"/>
      <c r="G612" s="17"/>
      <c r="H612" s="18" t="s">
        <v>70</v>
      </c>
      <c r="I612" s="17"/>
      <c r="J612" s="17"/>
      <c r="K612" s="17"/>
      <c r="L612" s="14"/>
    </row>
    <row r="613" spans="1:12" ht="21.75" customHeight="1" x14ac:dyDescent="0.15">
      <c r="A613" s="14"/>
      <c r="B613" s="16"/>
      <c r="C613" s="17"/>
      <c r="D613" s="17"/>
      <c r="E613" s="17"/>
      <c r="F613" s="17"/>
      <c r="G613" s="17"/>
      <c r="H613" s="18" t="s">
        <v>70</v>
      </c>
      <c r="I613" s="17"/>
      <c r="J613" s="17"/>
      <c r="K613" s="17"/>
      <c r="L613" s="14"/>
    </row>
    <row r="614" spans="1:12" ht="21.75" customHeight="1" x14ac:dyDescent="0.15">
      <c r="A614" s="14"/>
      <c r="B614" s="16"/>
      <c r="C614" s="17"/>
      <c r="D614" s="17"/>
      <c r="E614" s="17"/>
      <c r="F614" s="17"/>
      <c r="G614" s="17"/>
      <c r="H614" s="18" t="s">
        <v>70</v>
      </c>
      <c r="I614" s="17"/>
      <c r="J614" s="17"/>
      <c r="K614" s="17"/>
      <c r="L614" s="14"/>
    </row>
    <row r="615" spans="1:12" ht="21.75" customHeight="1" x14ac:dyDescent="0.15">
      <c r="A615" s="14"/>
      <c r="B615" s="16"/>
      <c r="C615" s="17"/>
      <c r="D615" s="17"/>
      <c r="E615" s="17"/>
      <c r="F615" s="17"/>
      <c r="G615" s="17"/>
      <c r="H615" s="18" t="s">
        <v>70</v>
      </c>
      <c r="I615" s="17"/>
      <c r="J615" s="17"/>
      <c r="K615" s="17"/>
      <c r="L615" s="14"/>
    </row>
    <row r="616" spans="1:12" ht="21.75" customHeight="1" x14ac:dyDescent="0.15">
      <c r="A616" s="14"/>
      <c r="B616" s="16"/>
      <c r="C616" s="17"/>
      <c r="D616" s="17"/>
      <c r="E616" s="17"/>
      <c r="F616" s="17"/>
      <c r="G616" s="17"/>
      <c r="H616" s="18" t="s">
        <v>70</v>
      </c>
      <c r="I616" s="17"/>
      <c r="J616" s="17"/>
      <c r="K616" s="17"/>
      <c r="L616" s="14"/>
    </row>
    <row r="617" spans="1:12" ht="21.75" customHeight="1" x14ac:dyDescent="0.15">
      <c r="A617" s="14"/>
      <c r="B617" s="16"/>
      <c r="C617" s="17"/>
      <c r="D617" s="17"/>
      <c r="E617" s="17"/>
      <c r="F617" s="17"/>
      <c r="G617" s="17"/>
      <c r="H617" s="18" t="s">
        <v>70</v>
      </c>
      <c r="I617" s="17"/>
      <c r="J617" s="17"/>
      <c r="K617" s="17"/>
      <c r="L617" s="14"/>
    </row>
    <row r="618" spans="1:12" ht="21.75" customHeight="1" x14ac:dyDescent="0.15">
      <c r="A618" s="14"/>
      <c r="B618" s="16"/>
      <c r="C618" s="17"/>
      <c r="D618" s="17"/>
      <c r="E618" s="17"/>
      <c r="F618" s="17"/>
      <c r="G618" s="17"/>
      <c r="H618" s="18" t="s">
        <v>70</v>
      </c>
      <c r="I618" s="17"/>
      <c r="J618" s="17"/>
      <c r="K618" s="17"/>
      <c r="L618" s="14"/>
    </row>
    <row r="619" spans="1:12" ht="21.75" customHeight="1" x14ac:dyDescent="0.15">
      <c r="A619" s="14"/>
      <c r="B619" s="16"/>
      <c r="C619" s="17"/>
      <c r="D619" s="17"/>
      <c r="E619" s="17"/>
      <c r="F619" s="17"/>
      <c r="G619" s="17"/>
      <c r="H619" s="18" t="s">
        <v>70</v>
      </c>
      <c r="I619" s="17"/>
      <c r="J619" s="17"/>
      <c r="K619" s="17"/>
      <c r="L619" s="14"/>
    </row>
    <row r="620" spans="1:12" ht="21.75" customHeight="1" x14ac:dyDescent="0.15">
      <c r="A620" s="14"/>
      <c r="B620" s="16"/>
      <c r="C620" s="17"/>
      <c r="D620" s="17"/>
      <c r="E620" s="17"/>
      <c r="F620" s="17"/>
      <c r="G620" s="17"/>
      <c r="H620" s="18" t="s">
        <v>70</v>
      </c>
      <c r="I620" s="17"/>
      <c r="J620" s="17"/>
      <c r="K620" s="17"/>
      <c r="L620" s="14"/>
    </row>
    <row r="621" spans="1:12" ht="21.75" customHeight="1" x14ac:dyDescent="0.15">
      <c r="A621" s="14"/>
      <c r="B621" s="16"/>
      <c r="C621" s="17"/>
      <c r="D621" s="17"/>
      <c r="E621" s="17"/>
      <c r="F621" s="17"/>
      <c r="G621" s="17"/>
      <c r="H621" s="18" t="s">
        <v>70</v>
      </c>
      <c r="I621" s="17"/>
      <c r="J621" s="17"/>
      <c r="K621" s="17"/>
      <c r="L621" s="14"/>
    </row>
    <row r="622" spans="1:12" ht="21.75" customHeight="1" x14ac:dyDescent="0.15">
      <c r="A622" s="14"/>
      <c r="B622" s="16"/>
      <c r="C622" s="17"/>
      <c r="D622" s="17"/>
      <c r="E622" s="17"/>
      <c r="F622" s="17"/>
      <c r="G622" s="17"/>
      <c r="H622" s="18" t="s">
        <v>70</v>
      </c>
      <c r="I622" s="17"/>
      <c r="J622" s="17"/>
      <c r="K622" s="17"/>
      <c r="L622" s="14"/>
    </row>
    <row r="623" spans="1:12" ht="21.75" customHeight="1" x14ac:dyDescent="0.15">
      <c r="A623" s="14"/>
      <c r="B623" s="16"/>
      <c r="C623" s="17"/>
      <c r="D623" s="17"/>
      <c r="E623" s="17"/>
      <c r="F623" s="17"/>
      <c r="G623" s="17"/>
      <c r="H623" s="18" t="s">
        <v>70</v>
      </c>
      <c r="I623" s="17"/>
      <c r="J623" s="17"/>
      <c r="K623" s="17"/>
      <c r="L623" s="14"/>
    </row>
    <row r="624" spans="1:12" ht="21.75" customHeight="1" x14ac:dyDescent="0.15">
      <c r="A624" s="14"/>
      <c r="B624" s="16"/>
      <c r="C624" s="17"/>
      <c r="D624" s="17"/>
      <c r="E624" s="17"/>
      <c r="F624" s="17"/>
      <c r="G624" s="17"/>
      <c r="H624" s="18" t="s">
        <v>70</v>
      </c>
      <c r="I624" s="17"/>
      <c r="J624" s="17"/>
      <c r="K624" s="17"/>
      <c r="L624" s="14"/>
    </row>
    <row r="625" spans="1:12" ht="21.75" customHeight="1" x14ac:dyDescent="0.15">
      <c r="A625" s="14"/>
      <c r="B625" s="16"/>
      <c r="C625" s="17"/>
      <c r="D625" s="17"/>
      <c r="E625" s="17"/>
      <c r="F625" s="17"/>
      <c r="G625" s="17"/>
      <c r="H625" s="18" t="s">
        <v>70</v>
      </c>
      <c r="I625" s="17"/>
      <c r="J625" s="17"/>
      <c r="K625" s="17"/>
      <c r="L625" s="14"/>
    </row>
    <row r="626" spans="1:12" ht="21.75" customHeight="1" x14ac:dyDescent="0.15">
      <c r="A626" s="14"/>
      <c r="B626" s="16"/>
      <c r="C626" s="17"/>
      <c r="D626" s="17"/>
      <c r="E626" s="17"/>
      <c r="F626" s="17"/>
      <c r="G626" s="17"/>
      <c r="H626" s="18" t="s">
        <v>70</v>
      </c>
      <c r="I626" s="17"/>
      <c r="J626" s="17"/>
      <c r="K626" s="17"/>
      <c r="L626" s="14"/>
    </row>
    <row r="627" spans="1:12" ht="21.75" customHeight="1" x14ac:dyDescent="0.15">
      <c r="A627" s="14"/>
      <c r="B627" s="16"/>
      <c r="C627" s="17"/>
      <c r="D627" s="17"/>
      <c r="E627" s="17"/>
      <c r="F627" s="17"/>
      <c r="G627" s="17"/>
      <c r="H627" s="18" t="s">
        <v>70</v>
      </c>
      <c r="I627" s="17"/>
      <c r="J627" s="17"/>
      <c r="K627" s="17"/>
      <c r="L627" s="14"/>
    </row>
    <row r="628" spans="1:12" ht="21.75" customHeight="1" x14ac:dyDescent="0.15">
      <c r="A628" s="14"/>
      <c r="B628" s="16"/>
      <c r="C628" s="17"/>
      <c r="D628" s="17"/>
      <c r="E628" s="17"/>
      <c r="F628" s="17"/>
      <c r="G628" s="17"/>
      <c r="H628" s="18" t="s">
        <v>70</v>
      </c>
      <c r="I628" s="17"/>
      <c r="J628" s="17"/>
      <c r="K628" s="17"/>
      <c r="L628" s="14"/>
    </row>
    <row r="629" spans="1:12" ht="21.75" customHeight="1" x14ac:dyDescent="0.15">
      <c r="A629" s="14"/>
      <c r="B629" s="16"/>
      <c r="C629" s="17"/>
      <c r="D629" s="17"/>
      <c r="E629" s="17"/>
      <c r="F629" s="17"/>
      <c r="G629" s="17"/>
      <c r="H629" s="18" t="s">
        <v>70</v>
      </c>
      <c r="I629" s="17"/>
      <c r="J629" s="17"/>
      <c r="K629" s="17"/>
      <c r="L629" s="14"/>
    </row>
    <row r="630" spans="1:12" ht="21.75" customHeight="1" x14ac:dyDescent="0.15">
      <c r="A630" s="14"/>
      <c r="B630" s="16"/>
      <c r="C630" s="17"/>
      <c r="D630" s="17"/>
      <c r="E630" s="17"/>
      <c r="F630" s="17"/>
      <c r="G630" s="17"/>
      <c r="H630" s="18" t="s">
        <v>70</v>
      </c>
      <c r="I630" s="17"/>
      <c r="J630" s="17"/>
      <c r="K630" s="17"/>
      <c r="L630" s="14"/>
    </row>
    <row r="631" spans="1:12" ht="21.75" customHeight="1" x14ac:dyDescent="0.15">
      <c r="A631" s="14"/>
      <c r="B631" s="16"/>
      <c r="C631" s="17"/>
      <c r="D631" s="17"/>
      <c r="E631" s="17"/>
      <c r="F631" s="17"/>
      <c r="G631" s="17"/>
      <c r="H631" s="18" t="s">
        <v>70</v>
      </c>
      <c r="I631" s="17"/>
      <c r="J631" s="17"/>
      <c r="K631" s="17"/>
      <c r="L631" s="14"/>
    </row>
    <row r="632" spans="1:12" ht="21.75" customHeight="1" x14ac:dyDescent="0.15">
      <c r="A632" s="14"/>
      <c r="B632" s="16"/>
      <c r="C632" s="17"/>
      <c r="D632" s="17"/>
      <c r="E632" s="17"/>
      <c r="F632" s="17"/>
      <c r="G632" s="17"/>
      <c r="H632" s="18" t="s">
        <v>70</v>
      </c>
      <c r="I632" s="17"/>
      <c r="J632" s="17"/>
      <c r="K632" s="17"/>
      <c r="L632" s="14"/>
    </row>
    <row r="633" spans="1:12" ht="21.75" customHeight="1" x14ac:dyDescent="0.15">
      <c r="A633" s="14"/>
      <c r="B633" s="16"/>
      <c r="C633" s="17"/>
      <c r="D633" s="17"/>
      <c r="E633" s="17"/>
      <c r="F633" s="17"/>
      <c r="G633" s="17"/>
      <c r="H633" s="18" t="s">
        <v>70</v>
      </c>
      <c r="I633" s="17"/>
      <c r="J633" s="17"/>
      <c r="K633" s="17"/>
      <c r="L633" s="14"/>
    </row>
    <row r="634" spans="1:12" ht="21.75" customHeight="1" x14ac:dyDescent="0.15">
      <c r="A634" s="14"/>
      <c r="B634" s="16"/>
      <c r="C634" s="17"/>
      <c r="D634" s="17"/>
      <c r="E634" s="17"/>
      <c r="F634" s="17"/>
      <c r="G634" s="17"/>
      <c r="H634" s="18" t="s">
        <v>70</v>
      </c>
      <c r="I634" s="17"/>
      <c r="J634" s="17"/>
      <c r="K634" s="17"/>
      <c r="L634" s="14"/>
    </row>
    <row r="635" spans="1:12" ht="21.75" customHeight="1" x14ac:dyDescent="0.15">
      <c r="A635" s="14"/>
      <c r="B635" s="16"/>
      <c r="C635" s="17"/>
      <c r="D635" s="17"/>
      <c r="E635" s="17"/>
      <c r="F635" s="17"/>
      <c r="G635" s="17"/>
      <c r="H635" s="18" t="s">
        <v>70</v>
      </c>
      <c r="I635" s="17"/>
      <c r="J635" s="17"/>
      <c r="K635" s="17"/>
      <c r="L635" s="14"/>
    </row>
    <row r="636" spans="1:12" ht="21.75" customHeight="1" x14ac:dyDescent="0.15">
      <c r="A636" s="14"/>
      <c r="B636" s="16"/>
      <c r="C636" s="17"/>
      <c r="D636" s="17"/>
      <c r="E636" s="17"/>
      <c r="F636" s="17"/>
      <c r="G636" s="17"/>
      <c r="H636" s="18" t="s">
        <v>70</v>
      </c>
      <c r="I636" s="17"/>
      <c r="J636" s="17"/>
      <c r="K636" s="17"/>
      <c r="L636" s="14"/>
    </row>
    <row r="637" spans="1:12" ht="21.75" customHeight="1" x14ac:dyDescent="0.15">
      <c r="A637" s="14"/>
      <c r="B637" s="16"/>
      <c r="C637" s="17"/>
      <c r="D637" s="17"/>
      <c r="E637" s="17"/>
      <c r="F637" s="17"/>
      <c r="G637" s="17"/>
      <c r="H637" s="18" t="s">
        <v>70</v>
      </c>
      <c r="I637" s="17"/>
      <c r="J637" s="17"/>
      <c r="K637" s="17"/>
      <c r="L637" s="14"/>
    </row>
    <row r="638" spans="1:12" ht="21.75" customHeight="1" x14ac:dyDescent="0.15">
      <c r="A638" s="14"/>
      <c r="B638" s="16"/>
      <c r="C638" s="17"/>
      <c r="D638" s="17"/>
      <c r="E638" s="17"/>
      <c r="F638" s="17"/>
      <c r="G638" s="17"/>
      <c r="H638" s="18" t="s">
        <v>70</v>
      </c>
      <c r="I638" s="17"/>
      <c r="J638" s="17"/>
      <c r="K638" s="17"/>
      <c r="L638" s="14"/>
    </row>
    <row r="639" spans="1:12" ht="21.75" customHeight="1" x14ac:dyDescent="0.15">
      <c r="A639" s="14"/>
      <c r="B639" s="16"/>
      <c r="C639" s="17"/>
      <c r="D639" s="17"/>
      <c r="E639" s="17"/>
      <c r="F639" s="17"/>
      <c r="G639" s="17"/>
      <c r="H639" s="18" t="s">
        <v>70</v>
      </c>
      <c r="I639" s="17"/>
      <c r="J639" s="17"/>
      <c r="K639" s="17"/>
      <c r="L639" s="14"/>
    </row>
    <row r="640" spans="1:12" ht="21.75" customHeight="1" x14ac:dyDescent="0.15">
      <c r="A640" s="14"/>
      <c r="B640" s="16"/>
      <c r="C640" s="17"/>
      <c r="D640" s="17"/>
      <c r="E640" s="17"/>
      <c r="F640" s="17"/>
      <c r="G640" s="17"/>
      <c r="H640" s="18" t="s">
        <v>70</v>
      </c>
      <c r="I640" s="17"/>
      <c r="J640" s="17"/>
      <c r="K640" s="17"/>
      <c r="L640" s="14"/>
    </row>
    <row r="641" spans="1:12" ht="21.75" customHeight="1" x14ac:dyDescent="0.15">
      <c r="A641" s="14"/>
      <c r="B641" s="16"/>
      <c r="C641" s="17"/>
      <c r="D641" s="17"/>
      <c r="E641" s="17"/>
      <c r="F641" s="17"/>
      <c r="G641" s="17"/>
      <c r="H641" s="18" t="s">
        <v>70</v>
      </c>
      <c r="I641" s="17"/>
      <c r="J641" s="17"/>
      <c r="K641" s="17"/>
      <c r="L641" s="14"/>
    </row>
    <row r="642" spans="1:12" ht="21.75" customHeight="1" x14ac:dyDescent="0.15">
      <c r="A642" s="14"/>
      <c r="B642" s="16"/>
      <c r="C642" s="17"/>
      <c r="D642" s="17"/>
      <c r="E642" s="17"/>
      <c r="F642" s="17"/>
      <c r="G642" s="17"/>
      <c r="H642" s="18" t="s">
        <v>70</v>
      </c>
      <c r="I642" s="17"/>
      <c r="J642" s="17"/>
      <c r="K642" s="17"/>
      <c r="L642" s="14"/>
    </row>
    <row r="643" spans="1:12" ht="21.75" customHeight="1" x14ac:dyDescent="0.15">
      <c r="A643" s="14"/>
      <c r="B643" s="16"/>
      <c r="C643" s="17"/>
      <c r="D643" s="17"/>
      <c r="E643" s="17"/>
      <c r="F643" s="17"/>
      <c r="G643" s="17"/>
      <c r="H643" s="18" t="s">
        <v>70</v>
      </c>
      <c r="I643" s="17"/>
      <c r="J643" s="17"/>
      <c r="K643" s="17"/>
      <c r="L643" s="14"/>
    </row>
    <row r="644" spans="1:12" ht="21.75" customHeight="1" x14ac:dyDescent="0.15">
      <c r="A644" s="14"/>
      <c r="B644" s="16"/>
      <c r="C644" s="17"/>
      <c r="D644" s="17"/>
      <c r="E644" s="17"/>
      <c r="F644" s="17"/>
      <c r="G644" s="17"/>
      <c r="H644" s="18" t="s">
        <v>70</v>
      </c>
      <c r="I644" s="17"/>
      <c r="J644" s="17"/>
      <c r="K644" s="17"/>
      <c r="L644" s="14"/>
    </row>
    <row r="645" spans="1:12" ht="21.75" customHeight="1" x14ac:dyDescent="0.15">
      <c r="A645" s="14"/>
      <c r="B645" s="16"/>
      <c r="C645" s="17"/>
      <c r="D645" s="17"/>
      <c r="E645" s="17"/>
      <c r="F645" s="17"/>
      <c r="G645" s="17"/>
      <c r="H645" s="18" t="s">
        <v>70</v>
      </c>
      <c r="I645" s="17"/>
      <c r="J645" s="17"/>
      <c r="K645" s="17"/>
      <c r="L645" s="14"/>
    </row>
    <row r="646" spans="1:12" ht="21.75" customHeight="1" x14ac:dyDescent="0.15">
      <c r="A646" s="14"/>
      <c r="B646" s="16"/>
      <c r="C646" s="17"/>
      <c r="D646" s="17"/>
      <c r="E646" s="17"/>
      <c r="F646" s="17"/>
      <c r="G646" s="17"/>
      <c r="H646" s="18" t="s">
        <v>70</v>
      </c>
      <c r="I646" s="17"/>
      <c r="J646" s="17"/>
      <c r="K646" s="17"/>
      <c r="L646" s="14"/>
    </row>
    <row r="647" spans="1:12" ht="21.75" customHeight="1" x14ac:dyDescent="0.15">
      <c r="A647" s="14"/>
      <c r="B647" s="16"/>
      <c r="C647" s="17"/>
      <c r="D647" s="17"/>
      <c r="E647" s="17"/>
      <c r="F647" s="17"/>
      <c r="G647" s="17"/>
      <c r="H647" s="18" t="s">
        <v>70</v>
      </c>
      <c r="I647" s="17"/>
      <c r="J647" s="17"/>
      <c r="K647" s="17"/>
      <c r="L647" s="14"/>
    </row>
    <row r="648" spans="1:12" ht="21.75" customHeight="1" x14ac:dyDescent="0.15">
      <c r="A648" s="14"/>
      <c r="B648" s="16"/>
      <c r="C648" s="17"/>
      <c r="D648" s="17"/>
      <c r="E648" s="17"/>
      <c r="F648" s="17"/>
      <c r="G648" s="17"/>
      <c r="H648" s="18" t="s">
        <v>70</v>
      </c>
      <c r="I648" s="17"/>
      <c r="J648" s="17"/>
      <c r="K648" s="17"/>
      <c r="L648" s="14"/>
    </row>
    <row r="649" spans="1:12" ht="21.75" customHeight="1" x14ac:dyDescent="0.15">
      <c r="A649" s="14"/>
      <c r="B649" s="16"/>
      <c r="C649" s="17"/>
      <c r="D649" s="17"/>
      <c r="E649" s="17"/>
      <c r="F649" s="17"/>
      <c r="G649" s="17"/>
      <c r="H649" s="18" t="s">
        <v>70</v>
      </c>
      <c r="I649" s="17"/>
      <c r="J649" s="17"/>
      <c r="K649" s="17"/>
      <c r="L649" s="14"/>
    </row>
    <row r="650" spans="1:12" ht="21.75" customHeight="1" x14ac:dyDescent="0.15">
      <c r="A650" s="14"/>
      <c r="B650" s="16"/>
      <c r="C650" s="17"/>
      <c r="D650" s="17"/>
      <c r="E650" s="17"/>
      <c r="F650" s="17"/>
      <c r="G650" s="17"/>
      <c r="H650" s="18" t="s">
        <v>70</v>
      </c>
      <c r="I650" s="17"/>
      <c r="J650" s="17"/>
      <c r="K650" s="17"/>
      <c r="L650" s="14"/>
    </row>
    <row r="651" spans="1:12" ht="21.75" customHeight="1" x14ac:dyDescent="0.15">
      <c r="A651" s="14"/>
      <c r="B651" s="16"/>
      <c r="C651" s="17"/>
      <c r="D651" s="17"/>
      <c r="E651" s="17"/>
      <c r="F651" s="17"/>
      <c r="G651" s="17"/>
      <c r="H651" s="18" t="s">
        <v>70</v>
      </c>
      <c r="I651" s="17"/>
      <c r="J651" s="17"/>
      <c r="K651" s="17"/>
      <c r="L651" s="14"/>
    </row>
    <row r="652" spans="1:12" ht="21.75" customHeight="1" x14ac:dyDescent="0.15">
      <c r="A652" s="14"/>
      <c r="B652" s="16"/>
      <c r="C652" s="17"/>
      <c r="D652" s="17"/>
      <c r="E652" s="17"/>
      <c r="F652" s="17"/>
      <c r="G652" s="17"/>
      <c r="H652" s="18" t="s">
        <v>70</v>
      </c>
      <c r="I652" s="17"/>
      <c r="J652" s="17"/>
      <c r="K652" s="17"/>
      <c r="L652" s="14"/>
    </row>
    <row r="653" spans="1:12" ht="21.75" customHeight="1" x14ac:dyDescent="0.15">
      <c r="A653" s="14"/>
      <c r="B653" s="16"/>
      <c r="C653" s="17"/>
      <c r="D653" s="17"/>
      <c r="E653" s="17"/>
      <c r="F653" s="17"/>
      <c r="G653" s="17"/>
      <c r="H653" s="18" t="s">
        <v>70</v>
      </c>
      <c r="I653" s="17"/>
      <c r="J653" s="17"/>
      <c r="K653" s="17"/>
      <c r="L653" s="14"/>
    </row>
    <row r="654" spans="1:12" ht="21.75" customHeight="1" x14ac:dyDescent="0.15">
      <c r="A654" s="14"/>
      <c r="B654" s="16"/>
      <c r="C654" s="17"/>
      <c r="D654" s="17"/>
      <c r="E654" s="17"/>
      <c r="F654" s="17"/>
      <c r="G654" s="17"/>
      <c r="H654" s="18" t="s">
        <v>70</v>
      </c>
      <c r="I654" s="17"/>
      <c r="J654" s="17"/>
      <c r="K654" s="17"/>
      <c r="L654" s="14"/>
    </row>
    <row r="655" spans="1:12" ht="21.75" customHeight="1" x14ac:dyDescent="0.15">
      <c r="A655" s="14"/>
      <c r="B655" s="16"/>
      <c r="C655" s="17"/>
      <c r="D655" s="17"/>
      <c r="E655" s="17"/>
      <c r="F655" s="17"/>
      <c r="G655" s="17"/>
      <c r="H655" s="18" t="s">
        <v>70</v>
      </c>
      <c r="I655" s="17"/>
      <c r="J655" s="17"/>
      <c r="K655" s="17"/>
      <c r="L655" s="14"/>
    </row>
    <row r="656" spans="1:12" ht="21.75" customHeight="1" x14ac:dyDescent="0.15">
      <c r="A656" s="14"/>
      <c r="B656" s="16"/>
      <c r="C656" s="17"/>
      <c r="D656" s="17"/>
      <c r="E656" s="17"/>
      <c r="F656" s="17"/>
      <c r="G656" s="17"/>
      <c r="H656" s="18" t="s">
        <v>70</v>
      </c>
      <c r="I656" s="17"/>
      <c r="J656" s="17"/>
      <c r="K656" s="17"/>
      <c r="L656" s="14"/>
    </row>
    <row r="657" spans="1:12" ht="21.75" customHeight="1" x14ac:dyDescent="0.15">
      <c r="A657" s="14"/>
      <c r="B657" s="16"/>
      <c r="C657" s="17"/>
      <c r="D657" s="17"/>
      <c r="E657" s="17"/>
      <c r="F657" s="17"/>
      <c r="G657" s="17"/>
      <c r="H657" s="18" t="s">
        <v>70</v>
      </c>
      <c r="I657" s="17"/>
      <c r="J657" s="17"/>
      <c r="K657" s="17"/>
      <c r="L657" s="14"/>
    </row>
    <row r="658" spans="1:12" ht="21.75" customHeight="1" x14ac:dyDescent="0.15">
      <c r="A658" s="14"/>
      <c r="B658" s="16"/>
      <c r="C658" s="17"/>
      <c r="D658" s="17"/>
      <c r="E658" s="17"/>
      <c r="F658" s="17"/>
      <c r="G658" s="17"/>
      <c r="H658" s="18" t="s">
        <v>70</v>
      </c>
      <c r="I658" s="17"/>
      <c r="J658" s="17"/>
      <c r="K658" s="17"/>
      <c r="L658" s="14"/>
    </row>
    <row r="659" spans="1:12" ht="21.75" customHeight="1" x14ac:dyDescent="0.15">
      <c r="A659" s="14"/>
      <c r="B659" s="16"/>
      <c r="C659" s="17"/>
      <c r="D659" s="17"/>
      <c r="E659" s="17"/>
      <c r="F659" s="17"/>
      <c r="G659" s="17"/>
      <c r="H659" s="18" t="s">
        <v>70</v>
      </c>
      <c r="I659" s="17"/>
      <c r="J659" s="17"/>
      <c r="K659" s="17"/>
      <c r="L659" s="14"/>
    </row>
    <row r="660" spans="1:12" ht="21.75" customHeight="1" x14ac:dyDescent="0.15">
      <c r="A660" s="14"/>
      <c r="B660" s="16"/>
      <c r="C660" s="17"/>
      <c r="D660" s="17"/>
      <c r="E660" s="17"/>
      <c r="F660" s="17"/>
      <c r="G660" s="17"/>
      <c r="H660" s="18" t="s">
        <v>70</v>
      </c>
      <c r="I660" s="17"/>
      <c r="J660" s="17"/>
      <c r="K660" s="17"/>
      <c r="L660" s="14"/>
    </row>
    <row r="661" spans="1:12" ht="21.75" customHeight="1" x14ac:dyDescent="0.15">
      <c r="A661" s="14"/>
      <c r="B661" s="16"/>
      <c r="C661" s="17"/>
      <c r="D661" s="17"/>
      <c r="E661" s="17"/>
      <c r="F661" s="17"/>
      <c r="G661" s="17"/>
      <c r="H661" s="18" t="s">
        <v>70</v>
      </c>
      <c r="I661" s="17"/>
      <c r="J661" s="17"/>
      <c r="K661" s="17"/>
      <c r="L661" s="14"/>
    </row>
    <row r="662" spans="1:12" ht="21.75" customHeight="1" x14ac:dyDescent="0.15">
      <c r="A662" s="14"/>
      <c r="B662" s="16"/>
      <c r="C662" s="17"/>
      <c r="D662" s="17"/>
      <c r="E662" s="17"/>
      <c r="F662" s="17"/>
      <c r="G662" s="17"/>
      <c r="H662" s="18" t="s">
        <v>70</v>
      </c>
      <c r="I662" s="17"/>
      <c r="J662" s="17"/>
      <c r="K662" s="17"/>
      <c r="L662" s="14"/>
    </row>
    <row r="663" spans="1:12" ht="21.75" customHeight="1" x14ac:dyDescent="0.15">
      <c r="A663" s="14"/>
      <c r="B663" s="16"/>
      <c r="C663" s="17"/>
      <c r="D663" s="17"/>
      <c r="E663" s="17"/>
      <c r="F663" s="17"/>
      <c r="G663" s="17"/>
      <c r="H663" s="18" t="s">
        <v>70</v>
      </c>
      <c r="I663" s="17"/>
      <c r="J663" s="17"/>
      <c r="K663" s="17"/>
      <c r="L663" s="14"/>
    </row>
    <row r="664" spans="1:12" ht="21.75" customHeight="1" x14ac:dyDescent="0.15">
      <c r="A664" s="14"/>
      <c r="B664" s="16"/>
      <c r="C664" s="17"/>
      <c r="D664" s="17"/>
      <c r="E664" s="17"/>
      <c r="F664" s="17"/>
      <c r="G664" s="17"/>
      <c r="H664" s="18" t="s">
        <v>70</v>
      </c>
      <c r="I664" s="17"/>
      <c r="J664" s="17"/>
      <c r="K664" s="17"/>
      <c r="L664" s="14"/>
    </row>
    <row r="665" spans="1:12" ht="21.75" customHeight="1" x14ac:dyDescent="0.15">
      <c r="A665" s="14"/>
      <c r="B665" s="16"/>
      <c r="C665" s="17"/>
      <c r="D665" s="17"/>
      <c r="E665" s="17"/>
      <c r="F665" s="17"/>
      <c r="G665" s="17"/>
      <c r="H665" s="18" t="s">
        <v>70</v>
      </c>
      <c r="I665" s="17"/>
      <c r="J665" s="17"/>
      <c r="K665" s="17"/>
      <c r="L665" s="14"/>
    </row>
    <row r="666" spans="1:12" ht="21.75" customHeight="1" x14ac:dyDescent="0.15">
      <c r="A666" s="14"/>
      <c r="B666" s="16"/>
      <c r="C666" s="17"/>
      <c r="D666" s="17"/>
      <c r="E666" s="17"/>
      <c r="F666" s="17"/>
      <c r="G666" s="17"/>
      <c r="H666" s="18" t="s">
        <v>70</v>
      </c>
      <c r="I666" s="17"/>
      <c r="J666" s="17"/>
      <c r="K666" s="17"/>
      <c r="L666" s="14"/>
    </row>
    <row r="667" spans="1:12" ht="21.75" customHeight="1" x14ac:dyDescent="0.15">
      <c r="A667" s="14"/>
      <c r="B667" s="16"/>
      <c r="C667" s="17"/>
      <c r="D667" s="17"/>
      <c r="E667" s="17"/>
      <c r="F667" s="17"/>
      <c r="G667" s="17"/>
      <c r="H667" s="18" t="s">
        <v>70</v>
      </c>
      <c r="I667" s="17"/>
      <c r="J667" s="17"/>
      <c r="K667" s="17"/>
      <c r="L667" s="14"/>
    </row>
    <row r="668" spans="1:12" ht="21.75" customHeight="1" x14ac:dyDescent="0.15">
      <c r="A668" s="14"/>
      <c r="B668" s="16"/>
      <c r="C668" s="17"/>
      <c r="D668" s="17"/>
      <c r="E668" s="17"/>
      <c r="F668" s="17"/>
      <c r="G668" s="17"/>
      <c r="H668" s="18" t="s">
        <v>70</v>
      </c>
      <c r="I668" s="17"/>
      <c r="J668" s="17"/>
      <c r="K668" s="17"/>
      <c r="L668" s="14"/>
    </row>
    <row r="669" spans="1:12" ht="21.75" customHeight="1" x14ac:dyDescent="0.15">
      <c r="A669" s="14"/>
      <c r="B669" s="16"/>
      <c r="C669" s="17"/>
      <c r="D669" s="17"/>
      <c r="E669" s="17"/>
      <c r="F669" s="17"/>
      <c r="G669" s="17"/>
      <c r="H669" s="18" t="s">
        <v>70</v>
      </c>
      <c r="I669" s="17"/>
      <c r="J669" s="17"/>
      <c r="K669" s="17"/>
      <c r="L669" s="14"/>
    </row>
    <row r="670" spans="1:12" ht="21.75" customHeight="1" x14ac:dyDescent="0.15">
      <c r="A670" s="14"/>
      <c r="B670" s="16"/>
      <c r="C670" s="17"/>
      <c r="D670" s="17"/>
      <c r="E670" s="17"/>
      <c r="F670" s="17"/>
      <c r="G670" s="17"/>
      <c r="H670" s="18" t="s">
        <v>70</v>
      </c>
      <c r="I670" s="17"/>
      <c r="J670" s="17"/>
      <c r="K670" s="17"/>
      <c r="L670" s="14"/>
    </row>
    <row r="671" spans="1:12" ht="21.75" customHeight="1" x14ac:dyDescent="0.15">
      <c r="A671" s="14"/>
      <c r="B671" s="16"/>
      <c r="C671" s="17"/>
      <c r="D671" s="17"/>
      <c r="E671" s="17"/>
      <c r="F671" s="17"/>
      <c r="G671" s="17"/>
      <c r="H671" s="18" t="s">
        <v>70</v>
      </c>
      <c r="I671" s="17"/>
      <c r="J671" s="17"/>
      <c r="K671" s="17"/>
      <c r="L671" s="14"/>
    </row>
    <row r="672" spans="1:12" ht="21.75" customHeight="1" x14ac:dyDescent="0.15">
      <c r="A672" s="14"/>
      <c r="B672" s="16"/>
      <c r="C672" s="17"/>
      <c r="D672" s="17"/>
      <c r="E672" s="17"/>
      <c r="F672" s="17"/>
      <c r="G672" s="17"/>
      <c r="H672" s="18" t="s">
        <v>70</v>
      </c>
      <c r="I672" s="17"/>
      <c r="J672" s="17"/>
      <c r="K672" s="17"/>
      <c r="L672" s="14"/>
    </row>
    <row r="673" spans="1:12" ht="21.75" customHeight="1" x14ac:dyDescent="0.15">
      <c r="A673" s="14"/>
      <c r="B673" s="16"/>
      <c r="C673" s="17"/>
      <c r="D673" s="17"/>
      <c r="E673" s="17"/>
      <c r="F673" s="17"/>
      <c r="G673" s="17"/>
      <c r="H673" s="18" t="s">
        <v>70</v>
      </c>
      <c r="I673" s="17"/>
      <c r="J673" s="17"/>
      <c r="K673" s="17"/>
      <c r="L673" s="14"/>
    </row>
    <row r="674" spans="1:12" ht="21.75" customHeight="1" x14ac:dyDescent="0.15">
      <c r="A674" s="14"/>
      <c r="B674" s="16"/>
      <c r="C674" s="17"/>
      <c r="D674" s="17"/>
      <c r="E674" s="17"/>
      <c r="F674" s="17"/>
      <c r="G674" s="17"/>
      <c r="H674" s="18" t="s">
        <v>70</v>
      </c>
      <c r="I674" s="17"/>
      <c r="J674" s="17"/>
      <c r="K674" s="17"/>
      <c r="L674" s="14"/>
    </row>
    <row r="675" spans="1:12" ht="21.75" customHeight="1" x14ac:dyDescent="0.15">
      <c r="A675" s="14"/>
      <c r="B675" s="16"/>
      <c r="C675" s="17"/>
      <c r="D675" s="17"/>
      <c r="E675" s="17"/>
      <c r="F675" s="17"/>
      <c r="G675" s="17"/>
      <c r="H675" s="18" t="s">
        <v>70</v>
      </c>
      <c r="I675" s="17"/>
      <c r="J675" s="17"/>
      <c r="K675" s="17"/>
      <c r="L675" s="14"/>
    </row>
    <row r="676" spans="1:12" ht="21.75" customHeight="1" x14ac:dyDescent="0.15">
      <c r="A676" s="14"/>
      <c r="B676" s="16"/>
      <c r="C676" s="17"/>
      <c r="D676" s="17"/>
      <c r="E676" s="17"/>
      <c r="F676" s="17"/>
      <c r="G676" s="17"/>
      <c r="H676" s="18" t="s">
        <v>70</v>
      </c>
      <c r="I676" s="17"/>
      <c r="J676" s="17"/>
      <c r="K676" s="17"/>
      <c r="L676" s="14"/>
    </row>
    <row r="677" spans="1:12" ht="21.75" customHeight="1" x14ac:dyDescent="0.15">
      <c r="A677" s="14"/>
      <c r="B677" s="16"/>
      <c r="C677" s="17"/>
      <c r="D677" s="17"/>
      <c r="E677" s="17"/>
      <c r="F677" s="17"/>
      <c r="G677" s="17"/>
      <c r="H677" s="18" t="s">
        <v>70</v>
      </c>
      <c r="I677" s="17"/>
      <c r="J677" s="17"/>
      <c r="K677" s="17"/>
      <c r="L677" s="14"/>
    </row>
    <row r="678" spans="1:12" ht="21.75" customHeight="1" x14ac:dyDescent="0.15">
      <c r="A678" s="14"/>
      <c r="B678" s="16"/>
      <c r="C678" s="17"/>
      <c r="D678" s="17"/>
      <c r="E678" s="17"/>
      <c r="F678" s="17"/>
      <c r="G678" s="17"/>
      <c r="H678" s="18" t="s">
        <v>70</v>
      </c>
      <c r="I678" s="17"/>
      <c r="J678" s="17"/>
      <c r="K678" s="17"/>
      <c r="L678" s="14"/>
    </row>
    <row r="679" spans="1:12" ht="21.75" customHeight="1" x14ac:dyDescent="0.15">
      <c r="A679" s="14"/>
      <c r="B679" s="16"/>
      <c r="C679" s="17"/>
      <c r="D679" s="17"/>
      <c r="E679" s="17"/>
      <c r="F679" s="17"/>
      <c r="G679" s="17"/>
      <c r="H679" s="18" t="s">
        <v>70</v>
      </c>
      <c r="I679" s="17"/>
      <c r="J679" s="17"/>
      <c r="K679" s="17"/>
      <c r="L679" s="14"/>
    </row>
    <row r="680" spans="1:12" ht="21.75" customHeight="1" x14ac:dyDescent="0.15">
      <c r="A680" s="14"/>
      <c r="B680" s="16"/>
      <c r="C680" s="17"/>
      <c r="D680" s="17"/>
      <c r="E680" s="17"/>
      <c r="F680" s="17"/>
      <c r="G680" s="17"/>
      <c r="H680" s="18" t="s">
        <v>70</v>
      </c>
      <c r="I680" s="17"/>
      <c r="J680" s="17"/>
      <c r="K680" s="17"/>
      <c r="L680" s="14"/>
    </row>
    <row r="681" spans="1:12" ht="21.75" customHeight="1" x14ac:dyDescent="0.15">
      <c r="A681" s="14"/>
      <c r="B681" s="16"/>
      <c r="C681" s="17"/>
      <c r="D681" s="17"/>
      <c r="E681" s="17"/>
      <c r="F681" s="17"/>
      <c r="G681" s="17"/>
      <c r="H681" s="18" t="s">
        <v>70</v>
      </c>
      <c r="I681" s="17"/>
      <c r="J681" s="17"/>
      <c r="K681" s="17"/>
      <c r="L681" s="14"/>
    </row>
    <row r="682" spans="1:12" ht="21.75" customHeight="1" x14ac:dyDescent="0.15">
      <c r="A682" s="14"/>
      <c r="B682" s="16"/>
      <c r="C682" s="17"/>
      <c r="D682" s="17"/>
      <c r="E682" s="17"/>
      <c r="F682" s="17"/>
      <c r="G682" s="17"/>
      <c r="H682" s="18" t="s">
        <v>70</v>
      </c>
      <c r="I682" s="17"/>
      <c r="J682" s="17"/>
      <c r="K682" s="17"/>
      <c r="L682" s="14"/>
    </row>
    <row r="683" spans="1:12" ht="21.75" customHeight="1" x14ac:dyDescent="0.15">
      <c r="A683" s="14"/>
      <c r="B683" s="16"/>
      <c r="C683" s="17"/>
      <c r="D683" s="17"/>
      <c r="E683" s="17"/>
      <c r="F683" s="17"/>
      <c r="G683" s="17"/>
      <c r="H683" s="18" t="s">
        <v>70</v>
      </c>
      <c r="I683" s="17"/>
      <c r="J683" s="17"/>
      <c r="K683" s="17"/>
      <c r="L683" s="14"/>
    </row>
    <row r="684" spans="1:12" ht="21.75" customHeight="1" x14ac:dyDescent="0.15">
      <c r="A684" s="14"/>
      <c r="B684" s="16"/>
      <c r="C684" s="17"/>
      <c r="D684" s="17"/>
      <c r="E684" s="17"/>
      <c r="F684" s="17"/>
      <c r="G684" s="17"/>
      <c r="H684" s="18" t="s">
        <v>70</v>
      </c>
      <c r="I684" s="17"/>
      <c r="J684" s="17"/>
      <c r="K684" s="17"/>
      <c r="L684" s="14"/>
    </row>
    <row r="685" spans="1:12" ht="21.75" customHeight="1" x14ac:dyDescent="0.15">
      <c r="A685" s="14"/>
      <c r="B685" s="16"/>
      <c r="C685" s="17"/>
      <c r="D685" s="17"/>
      <c r="E685" s="17"/>
      <c r="F685" s="17"/>
      <c r="G685" s="17"/>
      <c r="H685" s="18" t="s">
        <v>70</v>
      </c>
      <c r="I685" s="17"/>
      <c r="J685" s="17"/>
      <c r="K685" s="17"/>
      <c r="L685" s="14"/>
    </row>
    <row r="686" spans="1:12" ht="21.75" customHeight="1" x14ac:dyDescent="0.15">
      <c r="A686" s="14"/>
      <c r="B686" s="16"/>
      <c r="C686" s="17"/>
      <c r="D686" s="17"/>
      <c r="E686" s="17"/>
      <c r="F686" s="17"/>
      <c r="G686" s="17"/>
      <c r="H686" s="18" t="s">
        <v>70</v>
      </c>
      <c r="I686" s="17"/>
      <c r="J686" s="17"/>
      <c r="K686" s="17"/>
      <c r="L686" s="14"/>
    </row>
    <row r="687" spans="1:12" ht="21.75" customHeight="1" x14ac:dyDescent="0.15">
      <c r="A687" s="14"/>
      <c r="B687" s="16"/>
      <c r="C687" s="17"/>
      <c r="D687" s="17"/>
      <c r="E687" s="17"/>
      <c r="F687" s="17"/>
      <c r="G687" s="17"/>
      <c r="H687" s="18" t="s">
        <v>70</v>
      </c>
      <c r="I687" s="17"/>
      <c r="J687" s="17"/>
      <c r="K687" s="17"/>
      <c r="L687" s="14"/>
    </row>
    <row r="688" spans="1:12" ht="21.75" customHeight="1" x14ac:dyDescent="0.15">
      <c r="A688" s="14"/>
      <c r="B688" s="16"/>
      <c r="C688" s="17"/>
      <c r="D688" s="17"/>
      <c r="E688" s="17"/>
      <c r="F688" s="17"/>
      <c r="G688" s="17"/>
      <c r="H688" s="18" t="s">
        <v>70</v>
      </c>
      <c r="I688" s="17"/>
      <c r="J688" s="17"/>
      <c r="K688" s="17"/>
      <c r="L688" s="14"/>
    </row>
    <row r="689" spans="1:12" ht="21.75" customHeight="1" x14ac:dyDescent="0.15">
      <c r="A689" s="14"/>
      <c r="B689" s="16"/>
      <c r="C689" s="17"/>
      <c r="D689" s="17"/>
      <c r="E689" s="17"/>
      <c r="F689" s="17"/>
      <c r="G689" s="17"/>
      <c r="H689" s="18" t="s">
        <v>70</v>
      </c>
      <c r="I689" s="17"/>
      <c r="J689" s="17"/>
      <c r="K689" s="17"/>
      <c r="L689" s="14"/>
    </row>
    <row r="690" spans="1:12" ht="21.75" customHeight="1" x14ac:dyDescent="0.15">
      <c r="A690" s="14"/>
      <c r="B690" s="16"/>
      <c r="C690" s="17"/>
      <c r="D690" s="17"/>
      <c r="E690" s="17"/>
      <c r="F690" s="17"/>
      <c r="G690" s="17"/>
      <c r="H690" s="18" t="s">
        <v>70</v>
      </c>
      <c r="I690" s="17"/>
      <c r="J690" s="17"/>
      <c r="K690" s="17"/>
      <c r="L690" s="14"/>
    </row>
    <row r="691" spans="1:12" ht="21.75" customHeight="1" x14ac:dyDescent="0.15">
      <c r="A691" s="14"/>
      <c r="B691" s="16"/>
      <c r="C691" s="17"/>
      <c r="D691" s="17"/>
      <c r="E691" s="17"/>
      <c r="F691" s="17"/>
      <c r="G691" s="17"/>
      <c r="H691" s="18" t="s">
        <v>70</v>
      </c>
      <c r="I691" s="17"/>
      <c r="J691" s="17"/>
      <c r="K691" s="17"/>
      <c r="L691" s="14"/>
    </row>
    <row r="692" spans="1:12" ht="21.75" customHeight="1" x14ac:dyDescent="0.15">
      <c r="A692" s="14"/>
      <c r="B692" s="16"/>
      <c r="C692" s="17"/>
      <c r="D692" s="17"/>
      <c r="E692" s="17"/>
      <c r="F692" s="17"/>
      <c r="G692" s="17"/>
      <c r="H692" s="18" t="s">
        <v>70</v>
      </c>
      <c r="I692" s="17"/>
      <c r="J692" s="17"/>
      <c r="K692" s="17"/>
      <c r="L692" s="14"/>
    </row>
    <row r="693" spans="1:12" ht="21.75" customHeight="1" x14ac:dyDescent="0.15">
      <c r="A693" s="14"/>
      <c r="B693" s="16"/>
      <c r="C693" s="17"/>
      <c r="D693" s="17"/>
      <c r="E693" s="17"/>
      <c r="F693" s="17"/>
      <c r="G693" s="17"/>
      <c r="H693" s="18" t="s">
        <v>70</v>
      </c>
      <c r="I693" s="17"/>
      <c r="J693" s="17"/>
      <c r="K693" s="17"/>
      <c r="L693" s="14"/>
    </row>
    <row r="694" spans="1:12" ht="21.75" customHeight="1" x14ac:dyDescent="0.15">
      <c r="A694" s="14"/>
      <c r="B694" s="16"/>
      <c r="C694" s="17"/>
      <c r="D694" s="17"/>
      <c r="E694" s="17"/>
      <c r="F694" s="17"/>
      <c r="G694" s="17"/>
      <c r="H694" s="18" t="s">
        <v>70</v>
      </c>
      <c r="I694" s="17"/>
      <c r="J694" s="17"/>
      <c r="K694" s="17"/>
      <c r="L694" s="14"/>
    </row>
    <row r="695" spans="1:12" ht="21.75" customHeight="1" x14ac:dyDescent="0.15">
      <c r="A695" s="14"/>
      <c r="B695" s="16"/>
      <c r="C695" s="17"/>
      <c r="D695" s="17"/>
      <c r="E695" s="17"/>
      <c r="F695" s="17"/>
      <c r="G695" s="17"/>
      <c r="H695" s="18" t="s">
        <v>70</v>
      </c>
      <c r="I695" s="17"/>
      <c r="J695" s="17"/>
      <c r="K695" s="17"/>
      <c r="L695" s="14"/>
    </row>
    <row r="696" spans="1:12" ht="21.75" customHeight="1" x14ac:dyDescent="0.15">
      <c r="A696" s="14"/>
      <c r="B696" s="16"/>
      <c r="C696" s="17"/>
      <c r="D696" s="17"/>
      <c r="E696" s="17"/>
      <c r="F696" s="17"/>
      <c r="G696" s="17"/>
      <c r="H696" s="18" t="s">
        <v>70</v>
      </c>
      <c r="I696" s="17"/>
      <c r="J696" s="17"/>
      <c r="K696" s="17"/>
      <c r="L696" s="14"/>
    </row>
    <row r="697" spans="1:12" ht="21.75" customHeight="1" x14ac:dyDescent="0.15">
      <c r="A697" s="14"/>
      <c r="B697" s="16"/>
      <c r="C697" s="17"/>
      <c r="D697" s="17"/>
      <c r="E697" s="17"/>
      <c r="F697" s="17"/>
      <c r="G697" s="17"/>
      <c r="H697" s="18" t="s">
        <v>70</v>
      </c>
      <c r="I697" s="17"/>
      <c r="J697" s="17"/>
      <c r="K697" s="17"/>
      <c r="L697" s="14"/>
    </row>
    <row r="698" spans="1:12" ht="21.75" customHeight="1" x14ac:dyDescent="0.15">
      <c r="A698" s="14"/>
      <c r="B698" s="16"/>
      <c r="C698" s="17"/>
      <c r="D698" s="17"/>
      <c r="E698" s="17"/>
      <c r="F698" s="17"/>
      <c r="G698" s="17"/>
      <c r="H698" s="18" t="s">
        <v>70</v>
      </c>
      <c r="I698" s="17"/>
      <c r="J698" s="17"/>
      <c r="K698" s="17"/>
      <c r="L698" s="14"/>
    </row>
    <row r="699" spans="1:12" ht="21.75" customHeight="1" x14ac:dyDescent="0.15">
      <c r="A699" s="14"/>
      <c r="B699" s="16"/>
      <c r="C699" s="17"/>
      <c r="D699" s="17"/>
      <c r="E699" s="17"/>
      <c r="F699" s="17"/>
      <c r="G699" s="17"/>
      <c r="H699" s="18" t="s">
        <v>70</v>
      </c>
      <c r="I699" s="17"/>
      <c r="J699" s="17"/>
      <c r="K699" s="17"/>
      <c r="L699" s="14"/>
    </row>
    <row r="700" spans="1:12" ht="21.75" customHeight="1" x14ac:dyDescent="0.15">
      <c r="A700" s="14"/>
      <c r="B700" s="16"/>
      <c r="C700" s="17"/>
      <c r="D700" s="17"/>
      <c r="E700" s="17"/>
      <c r="F700" s="17"/>
      <c r="G700" s="17"/>
      <c r="H700" s="18" t="s">
        <v>70</v>
      </c>
      <c r="I700" s="17"/>
      <c r="J700" s="17"/>
      <c r="K700" s="17"/>
      <c r="L700" s="14"/>
    </row>
    <row r="701" spans="1:12" ht="21.75" customHeight="1" x14ac:dyDescent="0.15">
      <c r="A701" s="14"/>
      <c r="B701" s="16"/>
      <c r="C701" s="17"/>
      <c r="D701" s="17"/>
      <c r="E701" s="17"/>
      <c r="F701" s="17"/>
      <c r="G701" s="17"/>
      <c r="H701" s="18" t="s">
        <v>70</v>
      </c>
      <c r="I701" s="17"/>
      <c r="J701" s="17"/>
      <c r="K701" s="17"/>
      <c r="L701" s="14"/>
    </row>
    <row r="702" spans="1:12" ht="21.75" customHeight="1" x14ac:dyDescent="0.15">
      <c r="A702" s="14"/>
      <c r="B702" s="16"/>
      <c r="C702" s="17"/>
      <c r="D702" s="17"/>
      <c r="E702" s="17"/>
      <c r="F702" s="17"/>
      <c r="G702" s="17"/>
      <c r="H702" s="18" t="s">
        <v>70</v>
      </c>
      <c r="I702" s="17"/>
      <c r="J702" s="17"/>
      <c r="K702" s="17"/>
      <c r="L702" s="14"/>
    </row>
    <row r="703" spans="1:12" ht="21.75" customHeight="1" x14ac:dyDescent="0.15">
      <c r="A703" s="14"/>
      <c r="B703" s="16"/>
      <c r="C703" s="17"/>
      <c r="D703" s="17"/>
      <c r="E703" s="17"/>
      <c r="F703" s="17"/>
      <c r="G703" s="17"/>
      <c r="H703" s="18" t="s">
        <v>70</v>
      </c>
      <c r="I703" s="17"/>
      <c r="J703" s="17"/>
      <c r="K703" s="17"/>
      <c r="L703" s="14"/>
    </row>
    <row r="704" spans="1:12" ht="21.75" customHeight="1" x14ac:dyDescent="0.15">
      <c r="A704" s="14"/>
      <c r="B704" s="16"/>
      <c r="C704" s="17"/>
      <c r="D704" s="17"/>
      <c r="E704" s="17"/>
      <c r="F704" s="17"/>
      <c r="G704" s="17"/>
      <c r="H704" s="18" t="s">
        <v>70</v>
      </c>
      <c r="I704" s="17"/>
      <c r="J704" s="17"/>
      <c r="K704" s="17"/>
      <c r="L704" s="14"/>
    </row>
    <row r="705" spans="1:12" ht="21.75" customHeight="1" x14ac:dyDescent="0.15">
      <c r="A705" s="14"/>
      <c r="B705" s="16"/>
      <c r="C705" s="17"/>
      <c r="D705" s="17"/>
      <c r="E705" s="17"/>
      <c r="F705" s="17"/>
      <c r="G705" s="17"/>
      <c r="H705" s="18" t="s">
        <v>70</v>
      </c>
      <c r="I705" s="17"/>
      <c r="J705" s="17"/>
      <c r="K705" s="17"/>
      <c r="L705" s="14"/>
    </row>
    <row r="706" spans="1:12" ht="21.75" customHeight="1" x14ac:dyDescent="0.15">
      <c r="A706" s="14"/>
      <c r="B706" s="16"/>
      <c r="C706" s="17"/>
      <c r="D706" s="17"/>
      <c r="E706" s="17"/>
      <c r="F706" s="17"/>
      <c r="G706" s="17"/>
      <c r="H706" s="18" t="s">
        <v>70</v>
      </c>
      <c r="I706" s="17"/>
      <c r="J706" s="17"/>
      <c r="K706" s="17"/>
      <c r="L706" s="14"/>
    </row>
    <row r="707" spans="1:12" ht="21.75" customHeight="1" x14ac:dyDescent="0.15">
      <c r="A707" s="14"/>
      <c r="B707" s="16"/>
      <c r="C707" s="17"/>
      <c r="D707" s="17"/>
      <c r="E707" s="17"/>
      <c r="F707" s="17"/>
      <c r="G707" s="17"/>
      <c r="H707" s="18" t="s">
        <v>70</v>
      </c>
      <c r="I707" s="17"/>
      <c r="J707" s="17"/>
      <c r="K707" s="17"/>
      <c r="L707" s="14"/>
    </row>
    <row r="708" spans="1:12" ht="21.75" customHeight="1" x14ac:dyDescent="0.15">
      <c r="A708" s="14"/>
      <c r="B708" s="16"/>
      <c r="C708" s="17"/>
      <c r="D708" s="17"/>
      <c r="E708" s="17"/>
      <c r="F708" s="17"/>
      <c r="G708" s="17"/>
      <c r="H708" s="18" t="s">
        <v>70</v>
      </c>
      <c r="I708" s="17"/>
      <c r="J708" s="17"/>
      <c r="K708" s="17"/>
      <c r="L708" s="14"/>
    </row>
    <row r="709" spans="1:12" ht="21.75" customHeight="1" x14ac:dyDescent="0.15">
      <c r="A709" s="14"/>
      <c r="B709" s="16"/>
      <c r="C709" s="17"/>
      <c r="D709" s="17"/>
      <c r="E709" s="17"/>
      <c r="F709" s="17"/>
      <c r="G709" s="17"/>
      <c r="H709" s="18" t="s">
        <v>70</v>
      </c>
      <c r="I709" s="17"/>
      <c r="J709" s="17"/>
      <c r="K709" s="17"/>
      <c r="L709" s="14"/>
    </row>
    <row r="710" spans="1:12" ht="21.75" customHeight="1" x14ac:dyDescent="0.15">
      <c r="A710" s="14"/>
      <c r="B710" s="16"/>
      <c r="C710" s="17"/>
      <c r="D710" s="17"/>
      <c r="E710" s="17"/>
      <c r="F710" s="17"/>
      <c r="G710" s="17"/>
      <c r="H710" s="18" t="s">
        <v>70</v>
      </c>
      <c r="I710" s="17"/>
      <c r="J710" s="17"/>
      <c r="K710" s="17"/>
      <c r="L710" s="14"/>
    </row>
    <row r="711" spans="1:12" ht="21.75" customHeight="1" x14ac:dyDescent="0.15">
      <c r="A711" s="14"/>
      <c r="B711" s="16"/>
      <c r="C711" s="17"/>
      <c r="D711" s="17"/>
      <c r="E711" s="17"/>
      <c r="F711" s="17"/>
      <c r="G711" s="17"/>
      <c r="H711" s="18" t="s">
        <v>70</v>
      </c>
      <c r="I711" s="17"/>
      <c r="J711" s="17"/>
      <c r="K711" s="17"/>
      <c r="L711" s="14"/>
    </row>
    <row r="712" spans="1:12" ht="21.75" customHeight="1" x14ac:dyDescent="0.15">
      <c r="A712" s="14"/>
      <c r="B712" s="16"/>
      <c r="C712" s="17"/>
      <c r="D712" s="17"/>
      <c r="E712" s="17"/>
      <c r="F712" s="17"/>
      <c r="G712" s="17"/>
      <c r="H712" s="18" t="s">
        <v>70</v>
      </c>
      <c r="I712" s="17"/>
      <c r="J712" s="17"/>
      <c r="K712" s="17"/>
      <c r="L712" s="14"/>
    </row>
    <row r="713" spans="1:12" ht="21.75" customHeight="1" x14ac:dyDescent="0.15">
      <c r="A713" s="14"/>
      <c r="B713" s="16"/>
      <c r="C713" s="17"/>
      <c r="D713" s="17"/>
      <c r="E713" s="17"/>
      <c r="F713" s="17"/>
      <c r="G713" s="17"/>
      <c r="H713" s="18" t="s">
        <v>70</v>
      </c>
      <c r="I713" s="17"/>
      <c r="J713" s="17"/>
      <c r="K713" s="17"/>
      <c r="L713" s="14"/>
    </row>
    <row r="714" spans="1:12" ht="21.75" customHeight="1" x14ac:dyDescent="0.15">
      <c r="A714" s="14"/>
      <c r="B714" s="16"/>
      <c r="C714" s="17"/>
      <c r="D714" s="17"/>
      <c r="E714" s="17"/>
      <c r="F714" s="17"/>
      <c r="G714" s="17"/>
      <c r="H714" s="18" t="s">
        <v>70</v>
      </c>
      <c r="I714" s="17"/>
      <c r="J714" s="17"/>
      <c r="K714" s="17"/>
      <c r="L714" s="14"/>
    </row>
    <row r="715" spans="1:12" ht="21.75" customHeight="1" x14ac:dyDescent="0.15">
      <c r="A715" s="14"/>
      <c r="B715" s="16"/>
      <c r="C715" s="17"/>
      <c r="D715" s="17"/>
      <c r="E715" s="17"/>
      <c r="F715" s="17"/>
      <c r="G715" s="17"/>
      <c r="H715" s="18" t="s">
        <v>70</v>
      </c>
      <c r="I715" s="17"/>
      <c r="J715" s="17"/>
      <c r="K715" s="17"/>
      <c r="L715" s="14"/>
    </row>
    <row r="716" spans="1:12" ht="21.75" customHeight="1" x14ac:dyDescent="0.15">
      <c r="A716" s="14"/>
      <c r="B716" s="16"/>
      <c r="C716" s="17"/>
      <c r="D716" s="17"/>
      <c r="E716" s="17"/>
      <c r="F716" s="17"/>
      <c r="G716" s="17"/>
      <c r="H716" s="18" t="s">
        <v>70</v>
      </c>
      <c r="I716" s="17"/>
      <c r="J716" s="17"/>
      <c r="K716" s="17"/>
      <c r="L716" s="14"/>
    </row>
    <row r="717" spans="1:12" ht="21.75" customHeight="1" x14ac:dyDescent="0.15">
      <c r="A717" s="14"/>
      <c r="B717" s="16"/>
      <c r="C717" s="17"/>
      <c r="D717" s="17"/>
      <c r="E717" s="17"/>
      <c r="F717" s="17"/>
      <c r="G717" s="17"/>
      <c r="H717" s="18" t="s">
        <v>70</v>
      </c>
      <c r="I717" s="17"/>
      <c r="J717" s="17"/>
      <c r="K717" s="17"/>
      <c r="L717" s="14"/>
    </row>
    <row r="718" spans="1:12" ht="21.75" customHeight="1" x14ac:dyDescent="0.15">
      <c r="A718" s="14"/>
      <c r="B718" s="16"/>
      <c r="C718" s="17"/>
      <c r="D718" s="17"/>
      <c r="E718" s="17"/>
      <c r="F718" s="17"/>
      <c r="G718" s="17"/>
      <c r="H718" s="18" t="s">
        <v>70</v>
      </c>
      <c r="I718" s="17"/>
      <c r="J718" s="17"/>
      <c r="K718" s="17"/>
      <c r="L718" s="14"/>
    </row>
    <row r="719" spans="1:12" ht="21.75" customHeight="1" x14ac:dyDescent="0.15">
      <c r="A719" s="14"/>
      <c r="B719" s="16"/>
      <c r="C719" s="17"/>
      <c r="D719" s="17"/>
      <c r="E719" s="17"/>
      <c r="F719" s="17"/>
      <c r="G719" s="17"/>
      <c r="H719" s="18" t="s">
        <v>70</v>
      </c>
      <c r="I719" s="17"/>
      <c r="J719" s="17"/>
      <c r="K719" s="17"/>
      <c r="L719" s="14"/>
    </row>
    <row r="720" spans="1:12" ht="21.75" customHeight="1" x14ac:dyDescent="0.15">
      <c r="A720" s="14"/>
      <c r="B720" s="16"/>
      <c r="C720" s="17"/>
      <c r="D720" s="17"/>
      <c r="E720" s="17"/>
      <c r="F720" s="17"/>
      <c r="G720" s="17"/>
      <c r="H720" s="18" t="s">
        <v>70</v>
      </c>
      <c r="I720" s="17"/>
      <c r="J720" s="17"/>
      <c r="K720" s="17"/>
      <c r="L720" s="14"/>
    </row>
    <row r="721" spans="1:12" ht="21.75" customHeight="1" x14ac:dyDescent="0.15">
      <c r="A721" s="14"/>
      <c r="B721" s="16"/>
      <c r="C721" s="17"/>
      <c r="D721" s="17"/>
      <c r="E721" s="17"/>
      <c r="F721" s="17"/>
      <c r="G721" s="17"/>
      <c r="H721" s="18" t="s">
        <v>70</v>
      </c>
      <c r="I721" s="17"/>
      <c r="J721" s="17"/>
      <c r="K721" s="17"/>
      <c r="L721" s="14"/>
    </row>
    <row r="722" spans="1:12" ht="21.75" customHeight="1" x14ac:dyDescent="0.15">
      <c r="A722" s="14"/>
      <c r="B722" s="16"/>
      <c r="C722" s="17"/>
      <c r="D722" s="17"/>
      <c r="E722" s="17"/>
      <c r="F722" s="17"/>
      <c r="G722" s="17"/>
      <c r="H722" s="18" t="s">
        <v>70</v>
      </c>
      <c r="I722" s="17"/>
      <c r="J722" s="17"/>
      <c r="K722" s="17"/>
      <c r="L722" s="14"/>
    </row>
    <row r="723" spans="1:12" ht="21.75" customHeight="1" x14ac:dyDescent="0.15">
      <c r="A723" s="14"/>
      <c r="B723" s="16"/>
      <c r="C723" s="17"/>
      <c r="D723" s="17"/>
      <c r="E723" s="17"/>
      <c r="F723" s="17"/>
      <c r="G723" s="17"/>
      <c r="H723" s="18" t="s">
        <v>70</v>
      </c>
      <c r="I723" s="17"/>
      <c r="J723" s="17"/>
      <c r="K723" s="17"/>
      <c r="L723" s="14"/>
    </row>
    <row r="724" spans="1:12" ht="21.75" customHeight="1" x14ac:dyDescent="0.15">
      <c r="A724" s="14"/>
      <c r="B724" s="16"/>
      <c r="C724" s="17"/>
      <c r="D724" s="17"/>
      <c r="E724" s="17"/>
      <c r="F724" s="17"/>
      <c r="G724" s="17"/>
      <c r="H724" s="18" t="s">
        <v>70</v>
      </c>
      <c r="I724" s="17"/>
      <c r="J724" s="17"/>
      <c r="K724" s="17"/>
      <c r="L724" s="14"/>
    </row>
    <row r="725" spans="1:12" ht="21.75" customHeight="1" x14ac:dyDescent="0.15">
      <c r="A725" s="14"/>
      <c r="B725" s="16"/>
      <c r="C725" s="17"/>
      <c r="D725" s="17"/>
      <c r="E725" s="17"/>
      <c r="F725" s="17"/>
      <c r="G725" s="17"/>
      <c r="H725" s="18" t="s">
        <v>70</v>
      </c>
      <c r="I725" s="17"/>
      <c r="J725" s="17"/>
      <c r="K725" s="17"/>
      <c r="L725" s="14"/>
    </row>
    <row r="726" spans="1:12" ht="21.75" customHeight="1" x14ac:dyDescent="0.15">
      <c r="A726" s="14"/>
      <c r="B726" s="16"/>
      <c r="C726" s="17"/>
      <c r="D726" s="17"/>
      <c r="E726" s="17"/>
      <c r="F726" s="17"/>
      <c r="G726" s="17"/>
      <c r="H726" s="18" t="s">
        <v>70</v>
      </c>
      <c r="I726" s="17"/>
      <c r="J726" s="17"/>
      <c r="K726" s="17"/>
      <c r="L726" s="14"/>
    </row>
    <row r="727" spans="1:12" ht="21.75" customHeight="1" x14ac:dyDescent="0.15">
      <c r="A727" s="14"/>
      <c r="B727" s="16"/>
      <c r="C727" s="17"/>
      <c r="D727" s="17"/>
      <c r="E727" s="17"/>
      <c r="F727" s="17"/>
      <c r="G727" s="17"/>
      <c r="H727" s="18" t="s">
        <v>70</v>
      </c>
      <c r="I727" s="17"/>
      <c r="J727" s="17"/>
      <c r="K727" s="17"/>
      <c r="L727" s="14"/>
    </row>
    <row r="728" spans="1:12" ht="21.75" customHeight="1" x14ac:dyDescent="0.15">
      <c r="A728" s="14"/>
      <c r="B728" s="16"/>
      <c r="C728" s="17"/>
      <c r="D728" s="17"/>
      <c r="E728" s="17"/>
      <c r="F728" s="17"/>
      <c r="G728" s="17"/>
      <c r="H728" s="18" t="s">
        <v>70</v>
      </c>
      <c r="I728" s="17"/>
      <c r="J728" s="17"/>
      <c r="K728" s="17"/>
      <c r="L728" s="14"/>
    </row>
    <row r="729" spans="1:12" ht="21.75" customHeight="1" x14ac:dyDescent="0.15">
      <c r="A729" s="14"/>
      <c r="B729" s="16"/>
      <c r="C729" s="17"/>
      <c r="D729" s="17"/>
      <c r="E729" s="17"/>
      <c r="F729" s="17"/>
      <c r="G729" s="17"/>
      <c r="H729" s="18" t="s">
        <v>70</v>
      </c>
      <c r="I729" s="17"/>
      <c r="J729" s="17"/>
      <c r="K729" s="17"/>
      <c r="L729" s="14"/>
    </row>
    <row r="730" spans="1:12" ht="21.75" customHeight="1" x14ac:dyDescent="0.15">
      <c r="A730" s="14"/>
      <c r="B730" s="16"/>
      <c r="C730" s="17"/>
      <c r="D730" s="17"/>
      <c r="E730" s="17"/>
      <c r="F730" s="17"/>
      <c r="G730" s="17"/>
      <c r="H730" s="18" t="s">
        <v>70</v>
      </c>
      <c r="I730" s="17"/>
      <c r="J730" s="17"/>
      <c r="K730" s="17"/>
      <c r="L730" s="14"/>
    </row>
    <row r="731" spans="1:12" ht="21.75" customHeight="1" x14ac:dyDescent="0.15">
      <c r="A731" s="14"/>
      <c r="B731" s="16"/>
      <c r="C731" s="17"/>
      <c r="D731" s="17"/>
      <c r="E731" s="17"/>
      <c r="F731" s="17"/>
      <c r="G731" s="17"/>
      <c r="H731" s="18" t="s">
        <v>70</v>
      </c>
      <c r="I731" s="17"/>
      <c r="J731" s="17"/>
      <c r="K731" s="17"/>
      <c r="L731" s="14"/>
    </row>
    <row r="732" spans="1:12" ht="21.75" customHeight="1" x14ac:dyDescent="0.15">
      <c r="A732" s="14"/>
      <c r="B732" s="16"/>
      <c r="C732" s="17"/>
      <c r="D732" s="17"/>
      <c r="E732" s="17"/>
      <c r="F732" s="17"/>
      <c r="G732" s="17"/>
      <c r="H732" s="18" t="s">
        <v>70</v>
      </c>
      <c r="I732" s="17"/>
      <c r="J732" s="17"/>
      <c r="K732" s="17"/>
      <c r="L732" s="14"/>
    </row>
    <row r="733" spans="1:12" ht="21.75" customHeight="1" x14ac:dyDescent="0.15">
      <c r="A733" s="14"/>
      <c r="B733" s="16"/>
      <c r="C733" s="17"/>
      <c r="D733" s="17"/>
      <c r="E733" s="17"/>
      <c r="F733" s="17"/>
      <c r="G733" s="17"/>
      <c r="H733" s="18" t="s">
        <v>70</v>
      </c>
      <c r="I733" s="17"/>
      <c r="J733" s="17"/>
      <c r="K733" s="17"/>
      <c r="L733" s="14"/>
    </row>
    <row r="734" spans="1:12" ht="21.75" customHeight="1" x14ac:dyDescent="0.15">
      <c r="A734" s="14"/>
      <c r="B734" s="16"/>
      <c r="C734" s="17"/>
      <c r="D734" s="17"/>
      <c r="E734" s="17"/>
      <c r="F734" s="17"/>
      <c r="G734" s="17"/>
      <c r="H734" s="18" t="s">
        <v>70</v>
      </c>
      <c r="I734" s="17"/>
      <c r="J734" s="17"/>
      <c r="K734" s="17"/>
      <c r="L734" s="14"/>
    </row>
    <row r="735" spans="1:12" ht="21.75" customHeight="1" x14ac:dyDescent="0.15">
      <c r="A735" s="14"/>
      <c r="B735" s="16"/>
      <c r="C735" s="17"/>
      <c r="D735" s="17"/>
      <c r="E735" s="17"/>
      <c r="F735" s="17"/>
      <c r="G735" s="17"/>
      <c r="H735" s="18" t="s">
        <v>70</v>
      </c>
      <c r="I735" s="17"/>
      <c r="J735" s="17"/>
      <c r="K735" s="17"/>
      <c r="L735" s="14"/>
    </row>
    <row r="736" spans="1:12" ht="21.75" customHeight="1" x14ac:dyDescent="0.15">
      <c r="A736" s="14"/>
      <c r="B736" s="16"/>
      <c r="C736" s="17"/>
      <c r="D736" s="17"/>
      <c r="E736" s="17"/>
      <c r="F736" s="17"/>
      <c r="G736" s="17"/>
      <c r="H736" s="18" t="s">
        <v>70</v>
      </c>
      <c r="I736" s="17"/>
      <c r="J736" s="17"/>
      <c r="K736" s="17"/>
      <c r="L736" s="14"/>
    </row>
    <row r="737" spans="1:12" ht="21.75" customHeight="1" x14ac:dyDescent="0.15">
      <c r="A737" s="14"/>
      <c r="B737" s="16"/>
      <c r="C737" s="17"/>
      <c r="D737" s="17"/>
      <c r="E737" s="17"/>
      <c r="F737" s="17"/>
      <c r="G737" s="17"/>
      <c r="H737" s="18" t="s">
        <v>70</v>
      </c>
      <c r="I737" s="17"/>
      <c r="J737" s="17"/>
      <c r="K737" s="17"/>
      <c r="L737" s="14"/>
    </row>
    <row r="738" spans="1:12" ht="21.75" customHeight="1" x14ac:dyDescent="0.15">
      <c r="A738" s="14"/>
      <c r="B738" s="16"/>
      <c r="C738" s="17"/>
      <c r="D738" s="17"/>
      <c r="E738" s="17"/>
      <c r="F738" s="17"/>
      <c r="G738" s="17"/>
      <c r="H738" s="18" t="s">
        <v>70</v>
      </c>
      <c r="I738" s="17"/>
      <c r="J738" s="17"/>
      <c r="K738" s="17"/>
      <c r="L738" s="14"/>
    </row>
    <row r="739" spans="1:12" ht="21.75" customHeight="1" x14ac:dyDescent="0.15">
      <c r="A739" s="14"/>
      <c r="B739" s="16"/>
      <c r="C739" s="17"/>
      <c r="D739" s="17"/>
      <c r="E739" s="17"/>
      <c r="F739" s="17"/>
      <c r="G739" s="17"/>
      <c r="H739" s="18" t="s">
        <v>70</v>
      </c>
      <c r="I739" s="17"/>
      <c r="J739" s="17"/>
      <c r="K739" s="17"/>
      <c r="L739" s="14"/>
    </row>
    <row r="740" spans="1:12" ht="21.75" customHeight="1" x14ac:dyDescent="0.15">
      <c r="A740" s="14"/>
      <c r="B740" s="16"/>
      <c r="C740" s="17"/>
      <c r="D740" s="17"/>
      <c r="E740" s="17"/>
      <c r="F740" s="17"/>
      <c r="G740" s="17"/>
      <c r="H740" s="18" t="s">
        <v>70</v>
      </c>
      <c r="I740" s="17"/>
      <c r="J740" s="17"/>
      <c r="K740" s="17"/>
      <c r="L740" s="14"/>
    </row>
    <row r="741" spans="1:12" ht="21.75" customHeight="1" x14ac:dyDescent="0.15">
      <c r="A741" s="14"/>
      <c r="B741" s="16"/>
      <c r="C741" s="17"/>
      <c r="D741" s="17"/>
      <c r="E741" s="17"/>
      <c r="F741" s="17"/>
      <c r="G741" s="17"/>
      <c r="H741" s="18" t="s">
        <v>70</v>
      </c>
      <c r="I741" s="17"/>
      <c r="J741" s="17"/>
      <c r="K741" s="17"/>
      <c r="L741" s="14"/>
    </row>
    <row r="742" spans="1:12" ht="21.75" customHeight="1" x14ac:dyDescent="0.15">
      <c r="A742" s="14"/>
      <c r="B742" s="16"/>
      <c r="C742" s="17"/>
      <c r="D742" s="17"/>
      <c r="E742" s="17"/>
      <c r="F742" s="17"/>
      <c r="G742" s="17"/>
      <c r="H742" s="18" t="s">
        <v>70</v>
      </c>
      <c r="I742" s="17"/>
      <c r="J742" s="17"/>
      <c r="K742" s="17"/>
      <c r="L742" s="14"/>
    </row>
    <row r="743" spans="1:12" ht="21.75" customHeight="1" x14ac:dyDescent="0.15">
      <c r="A743" s="14"/>
      <c r="B743" s="16"/>
      <c r="C743" s="17"/>
      <c r="D743" s="17"/>
      <c r="E743" s="17"/>
      <c r="F743" s="17"/>
      <c r="G743" s="17"/>
      <c r="H743" s="18" t="s">
        <v>70</v>
      </c>
      <c r="I743" s="17"/>
      <c r="J743" s="17"/>
      <c r="K743" s="17"/>
      <c r="L743" s="14"/>
    </row>
    <row r="744" spans="1:12" ht="21.75" customHeight="1" x14ac:dyDescent="0.15">
      <c r="A744" s="14"/>
      <c r="B744" s="16"/>
      <c r="C744" s="17"/>
      <c r="D744" s="17"/>
      <c r="E744" s="17"/>
      <c r="F744" s="17"/>
      <c r="G744" s="17"/>
      <c r="H744" s="18" t="s">
        <v>70</v>
      </c>
      <c r="I744" s="17"/>
      <c r="J744" s="17"/>
      <c r="K744" s="17"/>
      <c r="L744" s="14"/>
    </row>
    <row r="745" spans="1:12" ht="21.75" customHeight="1" x14ac:dyDescent="0.15">
      <c r="A745" s="14"/>
      <c r="B745" s="16"/>
      <c r="C745" s="17"/>
      <c r="D745" s="17"/>
      <c r="E745" s="17"/>
      <c r="F745" s="17"/>
      <c r="G745" s="17"/>
      <c r="H745" s="18" t="s">
        <v>70</v>
      </c>
      <c r="I745" s="17"/>
      <c r="J745" s="17"/>
      <c r="K745" s="17"/>
      <c r="L745" s="14"/>
    </row>
    <row r="746" spans="1:12" ht="21.75" customHeight="1" x14ac:dyDescent="0.15">
      <c r="A746" s="14"/>
      <c r="B746" s="16"/>
      <c r="C746" s="17"/>
      <c r="D746" s="17"/>
      <c r="E746" s="17"/>
      <c r="F746" s="17"/>
      <c r="G746" s="17"/>
      <c r="H746" s="18" t="s">
        <v>70</v>
      </c>
      <c r="I746" s="17"/>
      <c r="J746" s="17"/>
      <c r="K746" s="17"/>
      <c r="L746" s="14"/>
    </row>
    <row r="747" spans="1:12" ht="21.75" customHeight="1" x14ac:dyDescent="0.15">
      <c r="A747" s="14"/>
      <c r="B747" s="16"/>
      <c r="C747" s="17"/>
      <c r="D747" s="17"/>
      <c r="E747" s="17"/>
      <c r="F747" s="17"/>
      <c r="G747" s="17"/>
      <c r="H747" s="18" t="s">
        <v>70</v>
      </c>
      <c r="I747" s="17"/>
      <c r="J747" s="17"/>
      <c r="K747" s="17"/>
      <c r="L747" s="14"/>
    </row>
    <row r="748" spans="1:12" ht="21.75" customHeight="1" x14ac:dyDescent="0.15">
      <c r="A748" s="14"/>
      <c r="B748" s="16"/>
      <c r="C748" s="17"/>
      <c r="D748" s="17"/>
      <c r="E748" s="17"/>
      <c r="F748" s="17"/>
      <c r="G748" s="17"/>
      <c r="H748" s="18" t="s">
        <v>70</v>
      </c>
      <c r="I748" s="17"/>
      <c r="J748" s="17"/>
      <c r="K748" s="17"/>
      <c r="L748" s="14"/>
    </row>
    <row r="749" spans="1:12" ht="21.75" customHeight="1" x14ac:dyDescent="0.15">
      <c r="A749" s="14"/>
      <c r="B749" s="16"/>
      <c r="C749" s="17"/>
      <c r="D749" s="17"/>
      <c r="E749" s="17"/>
      <c r="F749" s="17"/>
      <c r="G749" s="17"/>
      <c r="H749" s="18" t="s">
        <v>70</v>
      </c>
      <c r="I749" s="17"/>
      <c r="J749" s="17"/>
      <c r="K749" s="17"/>
      <c r="L749" s="14"/>
    </row>
    <row r="750" spans="1:12" ht="21.75" customHeight="1" x14ac:dyDescent="0.15">
      <c r="A750" s="14"/>
      <c r="B750" s="16"/>
      <c r="C750" s="17"/>
      <c r="D750" s="17"/>
      <c r="E750" s="17"/>
      <c r="F750" s="17"/>
      <c r="G750" s="17"/>
      <c r="H750" s="18" t="s">
        <v>70</v>
      </c>
      <c r="I750" s="17"/>
      <c r="J750" s="17"/>
      <c r="K750" s="17"/>
      <c r="L750" s="14"/>
    </row>
    <row r="751" spans="1:12" ht="21.75" customHeight="1" x14ac:dyDescent="0.15">
      <c r="A751" s="14"/>
      <c r="B751" s="16"/>
      <c r="C751" s="17"/>
      <c r="D751" s="17"/>
      <c r="E751" s="17"/>
      <c r="F751" s="17"/>
      <c r="G751" s="17"/>
      <c r="H751" s="18" t="s">
        <v>70</v>
      </c>
      <c r="I751" s="17"/>
      <c r="J751" s="17"/>
      <c r="K751" s="17"/>
      <c r="L751" s="14"/>
    </row>
    <row r="752" spans="1:12" ht="21.75" customHeight="1" x14ac:dyDescent="0.15">
      <c r="A752" s="14"/>
      <c r="B752" s="16"/>
      <c r="C752" s="17"/>
      <c r="D752" s="17"/>
      <c r="E752" s="17"/>
      <c r="F752" s="17"/>
      <c r="G752" s="17"/>
      <c r="H752" s="18" t="s">
        <v>70</v>
      </c>
      <c r="I752" s="17"/>
      <c r="J752" s="17"/>
      <c r="K752" s="17"/>
      <c r="L752" s="14"/>
    </row>
    <row r="753" spans="1:12" ht="21.75" customHeight="1" x14ac:dyDescent="0.15">
      <c r="A753" s="14"/>
      <c r="B753" s="16"/>
      <c r="C753" s="17"/>
      <c r="D753" s="17"/>
      <c r="E753" s="17"/>
      <c r="F753" s="17"/>
      <c r="G753" s="17"/>
      <c r="H753" s="18" t="s">
        <v>70</v>
      </c>
      <c r="I753" s="17"/>
      <c r="J753" s="17"/>
      <c r="K753" s="17"/>
      <c r="L753" s="14"/>
    </row>
    <row r="754" spans="1:12" ht="21.75" customHeight="1" x14ac:dyDescent="0.15">
      <c r="A754" s="14"/>
      <c r="B754" s="16"/>
      <c r="C754" s="17"/>
      <c r="D754" s="17"/>
      <c r="E754" s="17"/>
      <c r="F754" s="17"/>
      <c r="G754" s="17"/>
      <c r="H754" s="18" t="s">
        <v>70</v>
      </c>
      <c r="I754" s="17"/>
      <c r="J754" s="17"/>
      <c r="K754" s="17"/>
      <c r="L754" s="14"/>
    </row>
    <row r="755" spans="1:12" ht="21.75" customHeight="1" x14ac:dyDescent="0.15">
      <c r="A755" s="14"/>
      <c r="B755" s="16"/>
      <c r="C755" s="17"/>
      <c r="D755" s="17"/>
      <c r="E755" s="17"/>
      <c r="F755" s="17"/>
      <c r="G755" s="17"/>
      <c r="H755" s="18" t="s">
        <v>70</v>
      </c>
      <c r="I755" s="17"/>
      <c r="J755" s="17"/>
      <c r="K755" s="17"/>
      <c r="L755" s="14"/>
    </row>
    <row r="756" spans="1:12" ht="21.75" customHeight="1" x14ac:dyDescent="0.15">
      <c r="A756" s="14"/>
      <c r="B756" s="16"/>
      <c r="C756" s="17"/>
      <c r="D756" s="17"/>
      <c r="E756" s="17"/>
      <c r="F756" s="17"/>
      <c r="G756" s="17"/>
      <c r="H756" s="18" t="s">
        <v>70</v>
      </c>
      <c r="I756" s="17"/>
      <c r="J756" s="17"/>
      <c r="K756" s="17"/>
      <c r="L756" s="14"/>
    </row>
    <row r="757" spans="1:12" ht="21.75" customHeight="1" x14ac:dyDescent="0.15">
      <c r="A757" s="14"/>
      <c r="B757" s="16"/>
      <c r="C757" s="17"/>
      <c r="D757" s="17"/>
      <c r="E757" s="17"/>
      <c r="F757" s="17"/>
      <c r="G757" s="17"/>
      <c r="H757" s="18" t="s">
        <v>70</v>
      </c>
      <c r="I757" s="17"/>
      <c r="J757" s="17"/>
      <c r="K757" s="17"/>
      <c r="L757" s="14"/>
    </row>
    <row r="758" spans="1:12" ht="21.75" customHeight="1" x14ac:dyDescent="0.15">
      <c r="A758" s="14"/>
      <c r="B758" s="16"/>
      <c r="C758" s="17"/>
      <c r="D758" s="17"/>
      <c r="E758" s="17"/>
      <c r="F758" s="17"/>
      <c r="G758" s="17"/>
      <c r="H758" s="18" t="s">
        <v>70</v>
      </c>
      <c r="I758" s="17"/>
      <c r="J758" s="17"/>
      <c r="K758" s="17"/>
      <c r="L758" s="14"/>
    </row>
    <row r="759" spans="1:12" ht="21.75" customHeight="1" x14ac:dyDescent="0.15">
      <c r="A759" s="14"/>
      <c r="B759" s="16"/>
      <c r="C759" s="17"/>
      <c r="D759" s="17"/>
      <c r="E759" s="17"/>
      <c r="F759" s="17"/>
      <c r="G759" s="17"/>
      <c r="H759" s="18" t="s">
        <v>70</v>
      </c>
      <c r="I759" s="17"/>
      <c r="J759" s="17"/>
      <c r="K759" s="17"/>
      <c r="L759" s="14"/>
    </row>
    <row r="760" spans="1:12" ht="21.75" customHeight="1" x14ac:dyDescent="0.15">
      <c r="A760" s="14"/>
      <c r="B760" s="16"/>
      <c r="C760" s="17"/>
      <c r="D760" s="17"/>
      <c r="E760" s="17"/>
      <c r="F760" s="17"/>
      <c r="G760" s="17"/>
      <c r="H760" s="18" t="s">
        <v>70</v>
      </c>
      <c r="I760" s="17"/>
      <c r="J760" s="17"/>
      <c r="K760" s="17"/>
      <c r="L760" s="14"/>
    </row>
    <row r="761" spans="1:12" ht="21.75" customHeight="1" x14ac:dyDescent="0.15">
      <c r="A761" s="14"/>
      <c r="B761" s="16"/>
      <c r="C761" s="17"/>
      <c r="D761" s="17"/>
      <c r="E761" s="17"/>
      <c r="F761" s="17"/>
      <c r="G761" s="17"/>
      <c r="H761" s="18" t="s">
        <v>70</v>
      </c>
      <c r="I761" s="17"/>
      <c r="J761" s="17"/>
      <c r="K761" s="17"/>
      <c r="L761" s="14"/>
    </row>
    <row r="762" spans="1:12" ht="21.75" customHeight="1" x14ac:dyDescent="0.15">
      <c r="A762" s="14"/>
      <c r="B762" s="16"/>
      <c r="C762" s="17"/>
      <c r="D762" s="17"/>
      <c r="E762" s="17"/>
      <c r="F762" s="17"/>
      <c r="G762" s="17"/>
      <c r="H762" s="18" t="s">
        <v>70</v>
      </c>
      <c r="I762" s="17"/>
      <c r="J762" s="17"/>
      <c r="K762" s="17"/>
      <c r="L762" s="14"/>
    </row>
    <row r="763" spans="1:12" ht="21.75" customHeight="1" x14ac:dyDescent="0.15">
      <c r="A763" s="14"/>
      <c r="B763" s="16"/>
      <c r="C763" s="17"/>
      <c r="D763" s="17"/>
      <c r="E763" s="17"/>
      <c r="F763" s="17"/>
      <c r="G763" s="17"/>
      <c r="H763" s="18" t="s">
        <v>70</v>
      </c>
      <c r="I763" s="17"/>
      <c r="J763" s="17"/>
      <c r="K763" s="17"/>
      <c r="L763" s="14"/>
    </row>
    <row r="764" spans="1:12" ht="21.75" customHeight="1" x14ac:dyDescent="0.15">
      <c r="A764" s="14"/>
      <c r="B764" s="16"/>
      <c r="C764" s="17"/>
      <c r="D764" s="17"/>
      <c r="E764" s="17"/>
      <c r="F764" s="17"/>
      <c r="G764" s="17"/>
      <c r="H764" s="18" t="s">
        <v>70</v>
      </c>
      <c r="I764" s="17"/>
      <c r="J764" s="17"/>
      <c r="K764" s="17"/>
      <c r="L764" s="14"/>
    </row>
    <row r="765" spans="1:12" ht="21.75" customHeight="1" x14ac:dyDescent="0.15">
      <c r="A765" s="14"/>
      <c r="B765" s="16"/>
      <c r="C765" s="17"/>
      <c r="D765" s="17"/>
      <c r="E765" s="17"/>
      <c r="F765" s="17"/>
      <c r="G765" s="17"/>
      <c r="H765" s="18" t="s">
        <v>70</v>
      </c>
      <c r="I765" s="17"/>
      <c r="J765" s="17"/>
      <c r="K765" s="17"/>
      <c r="L765" s="14"/>
    </row>
    <row r="766" spans="1:12" ht="21.75" customHeight="1" x14ac:dyDescent="0.15">
      <c r="A766" s="14"/>
      <c r="B766" s="16"/>
      <c r="C766" s="17"/>
      <c r="D766" s="17"/>
      <c r="E766" s="17"/>
      <c r="F766" s="17"/>
      <c r="G766" s="17"/>
      <c r="H766" s="18" t="s">
        <v>70</v>
      </c>
      <c r="I766" s="17"/>
      <c r="J766" s="17"/>
      <c r="K766" s="17"/>
      <c r="L766" s="14"/>
    </row>
    <row r="767" spans="1:12" ht="21.75" customHeight="1" x14ac:dyDescent="0.15">
      <c r="A767" s="14"/>
      <c r="B767" s="16"/>
      <c r="C767" s="17"/>
      <c r="D767" s="17"/>
      <c r="E767" s="17"/>
      <c r="F767" s="17"/>
      <c r="G767" s="17"/>
      <c r="H767" s="18" t="s">
        <v>70</v>
      </c>
      <c r="I767" s="17"/>
      <c r="J767" s="17"/>
      <c r="K767" s="17"/>
      <c r="L767" s="14"/>
    </row>
    <row r="768" spans="1:12" ht="21.75" customHeight="1" x14ac:dyDescent="0.15">
      <c r="A768" s="14"/>
      <c r="B768" s="16"/>
      <c r="C768" s="17"/>
      <c r="D768" s="17"/>
      <c r="E768" s="17"/>
      <c r="F768" s="17"/>
      <c r="G768" s="17"/>
      <c r="H768" s="18" t="s">
        <v>70</v>
      </c>
      <c r="I768" s="17"/>
      <c r="J768" s="17"/>
      <c r="K768" s="17"/>
      <c r="L768" s="14"/>
    </row>
    <row r="769" spans="1:12" ht="21.75" customHeight="1" x14ac:dyDescent="0.15">
      <c r="A769" s="14"/>
      <c r="B769" s="16"/>
      <c r="C769" s="17"/>
      <c r="D769" s="17"/>
      <c r="E769" s="17"/>
      <c r="F769" s="17"/>
      <c r="G769" s="17"/>
      <c r="H769" s="18" t="s">
        <v>70</v>
      </c>
      <c r="I769" s="17"/>
      <c r="J769" s="17"/>
      <c r="K769" s="17"/>
      <c r="L769" s="14"/>
    </row>
    <row r="770" spans="1:12" ht="21.75" customHeight="1" x14ac:dyDescent="0.15">
      <c r="A770" s="14"/>
      <c r="B770" s="16"/>
      <c r="C770" s="17"/>
      <c r="D770" s="17"/>
      <c r="E770" s="17"/>
      <c r="F770" s="17"/>
      <c r="G770" s="17"/>
      <c r="H770" s="18" t="s">
        <v>70</v>
      </c>
      <c r="I770" s="17"/>
      <c r="J770" s="17"/>
      <c r="K770" s="17"/>
      <c r="L770" s="14"/>
    </row>
    <row r="771" spans="1:12" ht="21.75" customHeight="1" x14ac:dyDescent="0.15">
      <c r="A771" s="14"/>
      <c r="B771" s="16"/>
      <c r="C771" s="17"/>
      <c r="D771" s="17"/>
      <c r="E771" s="17"/>
      <c r="F771" s="17"/>
      <c r="G771" s="17"/>
      <c r="H771" s="18" t="s">
        <v>70</v>
      </c>
      <c r="I771" s="17"/>
      <c r="J771" s="17"/>
      <c r="K771" s="17"/>
      <c r="L771" s="14"/>
    </row>
    <row r="772" spans="1:12" ht="21.75" customHeight="1" x14ac:dyDescent="0.15">
      <c r="A772" s="14"/>
      <c r="B772" s="16"/>
      <c r="C772" s="17"/>
      <c r="D772" s="17"/>
      <c r="E772" s="17"/>
      <c r="F772" s="17"/>
      <c r="G772" s="17"/>
      <c r="H772" s="18" t="s">
        <v>70</v>
      </c>
      <c r="I772" s="17"/>
      <c r="J772" s="17"/>
      <c r="K772" s="17"/>
      <c r="L772" s="14"/>
    </row>
    <row r="773" spans="1:12" ht="21.75" customHeight="1" x14ac:dyDescent="0.15">
      <c r="A773" s="14"/>
      <c r="B773" s="16"/>
      <c r="C773" s="17"/>
      <c r="D773" s="17"/>
      <c r="E773" s="17"/>
      <c r="F773" s="17"/>
      <c r="G773" s="17"/>
      <c r="H773" s="18" t="s">
        <v>70</v>
      </c>
      <c r="I773" s="17"/>
      <c r="J773" s="17"/>
      <c r="K773" s="17"/>
      <c r="L773" s="14"/>
    </row>
    <row r="774" spans="1:12" ht="21.75" customHeight="1" x14ac:dyDescent="0.15">
      <c r="A774" s="14"/>
      <c r="B774" s="16"/>
      <c r="C774" s="17"/>
      <c r="D774" s="17"/>
      <c r="E774" s="17"/>
      <c r="F774" s="17"/>
      <c r="G774" s="17"/>
      <c r="H774" s="18" t="s">
        <v>70</v>
      </c>
      <c r="I774" s="17"/>
      <c r="J774" s="17"/>
      <c r="K774" s="17"/>
      <c r="L774" s="14"/>
    </row>
    <row r="775" spans="1:12" ht="21.75" customHeight="1" x14ac:dyDescent="0.15">
      <c r="A775" s="14"/>
      <c r="B775" s="16"/>
      <c r="C775" s="17"/>
      <c r="D775" s="17"/>
      <c r="E775" s="17"/>
      <c r="F775" s="17"/>
      <c r="G775" s="17"/>
      <c r="H775" s="18" t="s">
        <v>70</v>
      </c>
      <c r="I775" s="17"/>
      <c r="J775" s="17"/>
      <c r="K775" s="17"/>
      <c r="L775" s="14"/>
    </row>
    <row r="776" spans="1:12" ht="21.75" customHeight="1" x14ac:dyDescent="0.15">
      <c r="A776" s="14"/>
      <c r="B776" s="16"/>
      <c r="C776" s="17"/>
      <c r="D776" s="17"/>
      <c r="E776" s="17"/>
      <c r="F776" s="17"/>
      <c r="G776" s="17"/>
      <c r="H776" s="18" t="s">
        <v>70</v>
      </c>
      <c r="I776" s="17"/>
      <c r="J776" s="17"/>
      <c r="K776" s="17"/>
      <c r="L776" s="14"/>
    </row>
    <row r="777" spans="1:12" ht="21.75" customHeight="1" x14ac:dyDescent="0.15">
      <c r="A777" s="14"/>
      <c r="B777" s="16"/>
      <c r="C777" s="17"/>
      <c r="D777" s="17"/>
      <c r="E777" s="17"/>
      <c r="F777" s="17"/>
      <c r="G777" s="17"/>
      <c r="H777" s="18" t="s">
        <v>70</v>
      </c>
      <c r="I777" s="17"/>
      <c r="J777" s="17"/>
      <c r="K777" s="17"/>
      <c r="L777" s="14"/>
    </row>
    <row r="778" spans="1:12" ht="21.75" customHeight="1" x14ac:dyDescent="0.15">
      <c r="A778" s="14"/>
      <c r="B778" s="16"/>
      <c r="C778" s="17"/>
      <c r="D778" s="17"/>
      <c r="E778" s="17"/>
      <c r="F778" s="17"/>
      <c r="G778" s="17"/>
      <c r="H778" s="18" t="s">
        <v>70</v>
      </c>
      <c r="I778" s="17"/>
      <c r="J778" s="17"/>
      <c r="K778" s="17"/>
      <c r="L778" s="14"/>
    </row>
    <row r="779" spans="1:12" ht="21.75" customHeight="1" x14ac:dyDescent="0.15">
      <c r="A779" s="14"/>
      <c r="B779" s="16"/>
      <c r="C779" s="17"/>
      <c r="D779" s="17"/>
      <c r="E779" s="17"/>
      <c r="F779" s="17"/>
      <c r="G779" s="17"/>
      <c r="H779" s="18" t="s">
        <v>70</v>
      </c>
      <c r="I779" s="17"/>
      <c r="J779" s="17"/>
      <c r="K779" s="17"/>
      <c r="L779" s="14"/>
    </row>
    <row r="780" spans="1:12" ht="21.75" customHeight="1" x14ac:dyDescent="0.15">
      <c r="A780" s="14"/>
      <c r="B780" s="16"/>
      <c r="C780" s="17"/>
      <c r="D780" s="17"/>
      <c r="E780" s="17"/>
      <c r="F780" s="17"/>
      <c r="G780" s="17"/>
      <c r="H780" s="18" t="s">
        <v>70</v>
      </c>
      <c r="I780" s="17"/>
      <c r="J780" s="17"/>
      <c r="K780" s="17"/>
      <c r="L780" s="14"/>
    </row>
    <row r="781" spans="1:12" ht="21.75" customHeight="1" x14ac:dyDescent="0.15">
      <c r="A781" s="14"/>
      <c r="B781" s="16"/>
      <c r="C781" s="17"/>
      <c r="D781" s="17"/>
      <c r="E781" s="17"/>
      <c r="F781" s="17"/>
      <c r="G781" s="17"/>
      <c r="H781" s="18" t="s">
        <v>70</v>
      </c>
      <c r="I781" s="17"/>
      <c r="J781" s="17"/>
      <c r="K781" s="17"/>
      <c r="L781" s="14"/>
    </row>
    <row r="782" spans="1:12" ht="21.75" customHeight="1" x14ac:dyDescent="0.15">
      <c r="A782" s="14"/>
      <c r="B782" s="16"/>
      <c r="C782" s="17"/>
      <c r="D782" s="17"/>
      <c r="E782" s="17"/>
      <c r="F782" s="17"/>
      <c r="G782" s="17"/>
      <c r="H782" s="18" t="s">
        <v>70</v>
      </c>
      <c r="I782" s="17"/>
      <c r="J782" s="17"/>
      <c r="K782" s="17"/>
      <c r="L782" s="14"/>
    </row>
    <row r="783" spans="1:12" ht="21.75" customHeight="1" x14ac:dyDescent="0.15">
      <c r="A783" s="14"/>
      <c r="B783" s="16"/>
      <c r="C783" s="17"/>
      <c r="D783" s="17"/>
      <c r="E783" s="17"/>
      <c r="F783" s="17"/>
      <c r="G783" s="17"/>
      <c r="H783" s="18" t="s">
        <v>70</v>
      </c>
      <c r="I783" s="17"/>
      <c r="J783" s="17"/>
      <c r="K783" s="17"/>
      <c r="L783" s="14"/>
    </row>
    <row r="784" spans="1:12" ht="21.75" customHeight="1" x14ac:dyDescent="0.15">
      <c r="A784" s="14"/>
      <c r="B784" s="16"/>
      <c r="C784" s="17"/>
      <c r="D784" s="17"/>
      <c r="E784" s="17"/>
      <c r="F784" s="17"/>
      <c r="G784" s="17"/>
      <c r="H784" s="18" t="s">
        <v>70</v>
      </c>
      <c r="I784" s="17"/>
      <c r="J784" s="17"/>
      <c r="K784" s="17"/>
      <c r="L784" s="14"/>
    </row>
    <row r="785" spans="1:12" ht="21.75" customHeight="1" x14ac:dyDescent="0.15">
      <c r="A785" s="14"/>
      <c r="B785" s="16"/>
      <c r="C785" s="17"/>
      <c r="D785" s="17"/>
      <c r="E785" s="17"/>
      <c r="F785" s="17"/>
      <c r="G785" s="17"/>
      <c r="H785" s="18" t="s">
        <v>70</v>
      </c>
      <c r="I785" s="17"/>
      <c r="J785" s="17"/>
      <c r="K785" s="17"/>
      <c r="L785" s="14"/>
    </row>
    <row r="786" spans="1:12" ht="21.75" customHeight="1" x14ac:dyDescent="0.15">
      <c r="A786" s="14"/>
      <c r="B786" s="16"/>
      <c r="C786" s="17"/>
      <c r="D786" s="17"/>
      <c r="E786" s="17"/>
      <c r="F786" s="17"/>
      <c r="G786" s="17"/>
      <c r="H786" s="18" t="s">
        <v>70</v>
      </c>
      <c r="I786" s="17"/>
      <c r="J786" s="17"/>
      <c r="K786" s="17"/>
      <c r="L786" s="14"/>
    </row>
    <row r="787" spans="1:12" ht="21.75" customHeight="1" x14ac:dyDescent="0.15">
      <c r="A787" s="14"/>
      <c r="B787" s="16"/>
      <c r="C787" s="17"/>
      <c r="D787" s="17"/>
      <c r="E787" s="17"/>
      <c r="F787" s="17"/>
      <c r="G787" s="17"/>
      <c r="H787" s="18" t="s">
        <v>70</v>
      </c>
      <c r="I787" s="17"/>
      <c r="J787" s="17"/>
      <c r="K787" s="17"/>
      <c r="L787" s="14"/>
    </row>
    <row r="788" spans="1:12" ht="21.75" customHeight="1" x14ac:dyDescent="0.15">
      <c r="A788" s="14"/>
      <c r="B788" s="16"/>
      <c r="C788" s="17"/>
      <c r="D788" s="17"/>
      <c r="E788" s="17"/>
      <c r="F788" s="17"/>
      <c r="G788" s="17"/>
      <c r="H788" s="18" t="s">
        <v>70</v>
      </c>
      <c r="I788" s="17"/>
      <c r="J788" s="17"/>
      <c r="K788" s="17"/>
      <c r="L788" s="14"/>
    </row>
    <row r="789" spans="1:12" ht="21.75" customHeight="1" x14ac:dyDescent="0.15">
      <c r="A789" s="14"/>
      <c r="B789" s="16"/>
      <c r="C789" s="17"/>
      <c r="D789" s="17"/>
      <c r="E789" s="17"/>
      <c r="F789" s="17"/>
      <c r="G789" s="17"/>
      <c r="H789" s="18" t="s">
        <v>70</v>
      </c>
      <c r="I789" s="17"/>
      <c r="J789" s="17"/>
      <c r="K789" s="17"/>
      <c r="L789" s="14"/>
    </row>
    <row r="790" spans="1:12" ht="21.75" customHeight="1" x14ac:dyDescent="0.15">
      <c r="A790" s="14"/>
      <c r="B790" s="16"/>
      <c r="C790" s="17"/>
      <c r="D790" s="17"/>
      <c r="E790" s="17"/>
      <c r="F790" s="17"/>
      <c r="G790" s="17"/>
      <c r="H790" s="18" t="s">
        <v>70</v>
      </c>
      <c r="I790" s="17"/>
      <c r="J790" s="17"/>
      <c r="K790" s="17"/>
      <c r="L790" s="14"/>
    </row>
    <row r="791" spans="1:12" ht="21.75" customHeight="1" x14ac:dyDescent="0.15">
      <c r="A791" s="14"/>
      <c r="B791" s="16"/>
      <c r="C791" s="17"/>
      <c r="D791" s="17"/>
      <c r="E791" s="17"/>
      <c r="F791" s="17"/>
      <c r="G791" s="17"/>
      <c r="H791" s="18" t="s">
        <v>70</v>
      </c>
      <c r="I791" s="17"/>
      <c r="J791" s="17"/>
      <c r="K791" s="17"/>
      <c r="L791" s="14"/>
    </row>
    <row r="792" spans="1:12" ht="21.75" customHeight="1" x14ac:dyDescent="0.15">
      <c r="A792" s="14"/>
      <c r="B792" s="16"/>
      <c r="C792" s="17"/>
      <c r="D792" s="17"/>
      <c r="E792" s="17"/>
      <c r="F792" s="17"/>
      <c r="G792" s="17"/>
      <c r="H792" s="18" t="s">
        <v>70</v>
      </c>
      <c r="I792" s="17"/>
      <c r="J792" s="17"/>
      <c r="K792" s="17"/>
      <c r="L792" s="14"/>
    </row>
    <row r="793" spans="1:12" ht="21.75" customHeight="1" x14ac:dyDescent="0.15">
      <c r="A793" s="14"/>
      <c r="B793" s="16"/>
      <c r="C793" s="17"/>
      <c r="D793" s="17"/>
      <c r="E793" s="17"/>
      <c r="F793" s="17"/>
      <c r="G793" s="17"/>
      <c r="H793" s="18" t="s">
        <v>70</v>
      </c>
      <c r="I793" s="17"/>
      <c r="J793" s="17"/>
      <c r="K793" s="17"/>
      <c r="L793" s="14"/>
    </row>
    <row r="794" spans="1:12" ht="21.75" customHeight="1" x14ac:dyDescent="0.15">
      <c r="A794" s="14"/>
      <c r="B794" s="16"/>
      <c r="C794" s="17"/>
      <c r="D794" s="17"/>
      <c r="E794" s="17"/>
      <c r="F794" s="17"/>
      <c r="G794" s="17"/>
      <c r="H794" s="18" t="s">
        <v>70</v>
      </c>
      <c r="I794" s="17"/>
      <c r="J794" s="17"/>
      <c r="K794" s="17"/>
      <c r="L794" s="14"/>
    </row>
    <row r="795" spans="1:12" ht="21.75" customHeight="1" x14ac:dyDescent="0.15">
      <c r="A795" s="14"/>
      <c r="B795" s="16"/>
      <c r="C795" s="17"/>
      <c r="D795" s="17"/>
      <c r="E795" s="17"/>
      <c r="F795" s="17"/>
      <c r="G795" s="17"/>
      <c r="H795" s="18" t="s">
        <v>70</v>
      </c>
      <c r="I795" s="17"/>
      <c r="J795" s="17"/>
      <c r="K795" s="17"/>
      <c r="L795" s="14"/>
    </row>
    <row r="796" spans="1:12" ht="21.75" customHeight="1" x14ac:dyDescent="0.15">
      <c r="A796" s="14"/>
      <c r="B796" s="16"/>
      <c r="C796" s="17"/>
      <c r="D796" s="17"/>
      <c r="E796" s="17"/>
      <c r="F796" s="17"/>
      <c r="G796" s="17"/>
      <c r="H796" s="18" t="s">
        <v>70</v>
      </c>
      <c r="I796" s="17"/>
      <c r="J796" s="17"/>
      <c r="K796" s="17"/>
      <c r="L796" s="14"/>
    </row>
    <row r="797" spans="1:12" ht="21.75" customHeight="1" x14ac:dyDescent="0.15">
      <c r="A797" s="14"/>
      <c r="B797" s="16"/>
      <c r="C797" s="17"/>
      <c r="D797" s="17"/>
      <c r="E797" s="17"/>
      <c r="F797" s="17"/>
      <c r="G797" s="17"/>
      <c r="H797" s="18" t="s">
        <v>70</v>
      </c>
      <c r="I797" s="17"/>
      <c r="J797" s="17"/>
      <c r="K797" s="17"/>
      <c r="L797" s="14"/>
    </row>
    <row r="798" spans="1:12" ht="21.75" customHeight="1" x14ac:dyDescent="0.15">
      <c r="A798" s="14"/>
      <c r="B798" s="16"/>
      <c r="C798" s="17"/>
      <c r="D798" s="17"/>
      <c r="E798" s="17"/>
      <c r="F798" s="17"/>
      <c r="G798" s="17"/>
      <c r="H798" s="18" t="s">
        <v>70</v>
      </c>
      <c r="I798" s="17"/>
      <c r="J798" s="17"/>
      <c r="K798" s="17"/>
      <c r="L798" s="14"/>
    </row>
    <row r="799" spans="1:12" ht="21.75" customHeight="1" x14ac:dyDescent="0.15">
      <c r="A799" s="14"/>
      <c r="B799" s="16"/>
      <c r="C799" s="17"/>
      <c r="D799" s="17"/>
      <c r="E799" s="17"/>
      <c r="F799" s="17"/>
      <c r="G799" s="17"/>
      <c r="H799" s="18" t="s">
        <v>70</v>
      </c>
      <c r="I799" s="17"/>
      <c r="J799" s="17"/>
      <c r="K799" s="17"/>
      <c r="L799" s="14"/>
    </row>
    <row r="800" spans="1:12" ht="21.75" customHeight="1" x14ac:dyDescent="0.15">
      <c r="A800" s="14"/>
      <c r="B800" s="16"/>
      <c r="C800" s="17"/>
      <c r="D800" s="17"/>
      <c r="E800" s="17"/>
      <c r="F800" s="17"/>
      <c r="G800" s="17"/>
      <c r="H800" s="18" t="s">
        <v>70</v>
      </c>
      <c r="I800" s="17"/>
      <c r="J800" s="17"/>
      <c r="K800" s="17"/>
      <c r="L800" s="14"/>
    </row>
    <row r="801" spans="1:12" ht="21.75" customHeight="1" x14ac:dyDescent="0.15">
      <c r="A801" s="14"/>
      <c r="B801" s="16"/>
      <c r="C801" s="17"/>
      <c r="D801" s="17"/>
      <c r="E801" s="17"/>
      <c r="F801" s="17"/>
      <c r="G801" s="17"/>
      <c r="H801" s="18" t="s">
        <v>70</v>
      </c>
      <c r="I801" s="17"/>
      <c r="J801" s="17"/>
      <c r="K801" s="17"/>
      <c r="L801" s="14"/>
    </row>
    <row r="802" spans="1:12" ht="21.75" customHeight="1" x14ac:dyDescent="0.15">
      <c r="A802" s="14"/>
      <c r="B802" s="16"/>
      <c r="C802" s="17"/>
      <c r="D802" s="17"/>
      <c r="E802" s="17"/>
      <c r="F802" s="17"/>
      <c r="G802" s="17"/>
      <c r="H802" s="18" t="s">
        <v>70</v>
      </c>
      <c r="I802" s="17"/>
      <c r="J802" s="17"/>
      <c r="K802" s="17"/>
      <c r="L802" s="14"/>
    </row>
    <row r="803" spans="1:12" ht="21.75" customHeight="1" x14ac:dyDescent="0.15">
      <c r="A803" s="14"/>
      <c r="B803" s="16"/>
      <c r="C803" s="17"/>
      <c r="D803" s="17"/>
      <c r="E803" s="17"/>
      <c r="F803" s="17"/>
      <c r="G803" s="17"/>
      <c r="H803" s="18" t="s">
        <v>70</v>
      </c>
      <c r="I803" s="17"/>
      <c r="J803" s="17"/>
      <c r="K803" s="17"/>
      <c r="L803" s="14"/>
    </row>
    <row r="804" spans="1:12" ht="21.75" customHeight="1" x14ac:dyDescent="0.15">
      <c r="A804" s="14"/>
      <c r="B804" s="16"/>
      <c r="C804" s="17"/>
      <c r="D804" s="17"/>
      <c r="E804" s="17"/>
      <c r="F804" s="17"/>
      <c r="G804" s="17"/>
      <c r="H804" s="18" t="s">
        <v>70</v>
      </c>
      <c r="I804" s="17"/>
      <c r="J804" s="17"/>
      <c r="K804" s="17"/>
      <c r="L804" s="14"/>
    </row>
    <row r="805" spans="1:12" ht="21.75" customHeight="1" x14ac:dyDescent="0.15">
      <c r="A805" s="14"/>
      <c r="B805" s="16"/>
      <c r="C805" s="17"/>
      <c r="D805" s="17"/>
      <c r="E805" s="17"/>
      <c r="F805" s="17"/>
      <c r="G805" s="17"/>
      <c r="H805" s="18" t="s">
        <v>70</v>
      </c>
      <c r="I805" s="17"/>
      <c r="J805" s="17"/>
      <c r="K805" s="17"/>
      <c r="L805" s="14"/>
    </row>
    <row r="806" spans="1:12" ht="21.75" customHeight="1" x14ac:dyDescent="0.15">
      <c r="A806" s="14"/>
      <c r="B806" s="16"/>
      <c r="C806" s="17"/>
      <c r="D806" s="17"/>
      <c r="E806" s="17"/>
      <c r="F806" s="17"/>
      <c r="G806" s="17"/>
      <c r="H806" s="18" t="s">
        <v>70</v>
      </c>
      <c r="I806" s="17"/>
      <c r="J806" s="17"/>
      <c r="K806" s="17"/>
      <c r="L806" s="14"/>
    </row>
    <row r="807" spans="1:12" ht="21.75" customHeight="1" x14ac:dyDescent="0.15">
      <c r="A807" s="14"/>
      <c r="B807" s="16"/>
      <c r="C807" s="17"/>
      <c r="D807" s="17"/>
      <c r="E807" s="17"/>
      <c r="F807" s="17"/>
      <c r="G807" s="17"/>
      <c r="H807" s="18" t="s">
        <v>70</v>
      </c>
      <c r="I807" s="17"/>
      <c r="J807" s="17"/>
      <c r="K807" s="17"/>
      <c r="L807" s="14"/>
    </row>
    <row r="808" spans="1:12" ht="21.75" customHeight="1" x14ac:dyDescent="0.15">
      <c r="A808" s="14"/>
      <c r="B808" s="16"/>
      <c r="C808" s="17"/>
      <c r="D808" s="17"/>
      <c r="E808" s="17"/>
      <c r="F808" s="17"/>
      <c r="G808" s="17"/>
      <c r="H808" s="18" t="s">
        <v>70</v>
      </c>
      <c r="I808" s="17"/>
      <c r="J808" s="17"/>
      <c r="K808" s="17"/>
      <c r="L808" s="14"/>
    </row>
    <row r="809" spans="1:12" ht="21.75" customHeight="1" x14ac:dyDescent="0.15">
      <c r="A809" s="14"/>
      <c r="B809" s="16"/>
      <c r="C809" s="17"/>
      <c r="D809" s="17"/>
      <c r="E809" s="17"/>
      <c r="F809" s="17"/>
      <c r="G809" s="17"/>
      <c r="H809" s="18" t="s">
        <v>70</v>
      </c>
      <c r="I809" s="17"/>
      <c r="J809" s="17"/>
      <c r="K809" s="17"/>
      <c r="L809" s="14"/>
    </row>
    <row r="810" spans="1:12" ht="21.75" customHeight="1" x14ac:dyDescent="0.15">
      <c r="A810" s="14"/>
      <c r="B810" s="16"/>
      <c r="C810" s="17"/>
      <c r="D810" s="17"/>
      <c r="E810" s="17"/>
      <c r="F810" s="17"/>
      <c r="G810" s="17"/>
      <c r="H810" s="18" t="s">
        <v>70</v>
      </c>
      <c r="I810" s="17"/>
      <c r="J810" s="17"/>
      <c r="K810" s="17"/>
      <c r="L810" s="14"/>
    </row>
    <row r="811" spans="1:12" ht="21.75" customHeight="1" x14ac:dyDescent="0.15">
      <c r="A811" s="14"/>
      <c r="B811" s="16"/>
      <c r="C811" s="17"/>
      <c r="D811" s="17"/>
      <c r="E811" s="17"/>
      <c r="F811" s="17"/>
      <c r="G811" s="17"/>
      <c r="H811" s="18" t="s">
        <v>70</v>
      </c>
      <c r="I811" s="17"/>
      <c r="J811" s="17"/>
      <c r="K811" s="17"/>
      <c r="L811" s="14"/>
    </row>
    <row r="812" spans="1:12" ht="21.75" customHeight="1" x14ac:dyDescent="0.15">
      <c r="A812" s="14"/>
      <c r="B812" s="16"/>
      <c r="C812" s="17"/>
      <c r="D812" s="17"/>
      <c r="E812" s="17"/>
      <c r="F812" s="17"/>
      <c r="G812" s="17"/>
      <c r="H812" s="18" t="s">
        <v>70</v>
      </c>
      <c r="I812" s="17"/>
      <c r="J812" s="17"/>
      <c r="K812" s="17"/>
      <c r="L812" s="14"/>
    </row>
    <row r="813" spans="1:12" ht="21.75" customHeight="1" x14ac:dyDescent="0.15">
      <c r="A813" s="14"/>
      <c r="B813" s="16"/>
      <c r="C813" s="17"/>
      <c r="D813" s="17"/>
      <c r="E813" s="17"/>
      <c r="F813" s="17"/>
      <c r="G813" s="17"/>
      <c r="H813" s="18" t="s">
        <v>70</v>
      </c>
      <c r="I813" s="17"/>
      <c r="J813" s="17"/>
      <c r="K813" s="17"/>
      <c r="L813" s="14"/>
    </row>
    <row r="814" spans="1:12" ht="21.75" customHeight="1" x14ac:dyDescent="0.15">
      <c r="A814" s="14"/>
      <c r="B814" s="16"/>
      <c r="C814" s="17"/>
      <c r="D814" s="17"/>
      <c r="E814" s="17"/>
      <c r="F814" s="17"/>
      <c r="G814" s="17"/>
      <c r="H814" s="18" t="s">
        <v>70</v>
      </c>
      <c r="I814" s="17"/>
      <c r="J814" s="17"/>
      <c r="K814" s="17"/>
      <c r="L814" s="14"/>
    </row>
    <row r="815" spans="1:12" ht="21.75" customHeight="1" x14ac:dyDescent="0.15">
      <c r="A815" s="14"/>
      <c r="B815" s="16"/>
      <c r="C815" s="17"/>
      <c r="D815" s="17"/>
      <c r="E815" s="17"/>
      <c r="F815" s="17"/>
      <c r="G815" s="17"/>
      <c r="H815" s="18" t="s">
        <v>70</v>
      </c>
      <c r="I815" s="17"/>
      <c r="J815" s="17"/>
      <c r="K815" s="17"/>
      <c r="L815" s="14"/>
    </row>
    <row r="816" spans="1:12" ht="21.75" customHeight="1" x14ac:dyDescent="0.15">
      <c r="A816" s="14"/>
      <c r="B816" s="16"/>
      <c r="C816" s="17"/>
      <c r="D816" s="17"/>
      <c r="E816" s="17"/>
      <c r="F816" s="17"/>
      <c r="G816" s="17"/>
      <c r="H816" s="18" t="s">
        <v>70</v>
      </c>
      <c r="I816" s="17"/>
      <c r="J816" s="17"/>
      <c r="K816" s="17"/>
      <c r="L816" s="14"/>
    </row>
    <row r="817" spans="1:12" ht="21.75" customHeight="1" x14ac:dyDescent="0.15">
      <c r="A817" s="14"/>
      <c r="B817" s="16"/>
      <c r="C817" s="17"/>
      <c r="D817" s="17"/>
      <c r="E817" s="17"/>
      <c r="F817" s="17"/>
      <c r="G817" s="17"/>
      <c r="H817" s="18" t="s">
        <v>70</v>
      </c>
      <c r="I817" s="17"/>
      <c r="J817" s="17"/>
      <c r="K817" s="17"/>
      <c r="L817" s="14"/>
    </row>
    <row r="818" spans="1:12" ht="21.75" customHeight="1" x14ac:dyDescent="0.15">
      <c r="A818" s="14"/>
      <c r="B818" s="16"/>
      <c r="C818" s="17"/>
      <c r="D818" s="17"/>
      <c r="E818" s="17"/>
      <c r="F818" s="17"/>
      <c r="G818" s="17"/>
      <c r="H818" s="18" t="s">
        <v>70</v>
      </c>
      <c r="I818" s="17"/>
      <c r="J818" s="17"/>
      <c r="K818" s="17"/>
      <c r="L818" s="14"/>
    </row>
    <row r="819" spans="1:12" ht="21.75" customHeight="1" x14ac:dyDescent="0.15">
      <c r="A819" s="14"/>
      <c r="B819" s="16"/>
      <c r="C819" s="17"/>
      <c r="D819" s="17"/>
      <c r="E819" s="17"/>
      <c r="F819" s="17"/>
      <c r="G819" s="17"/>
      <c r="H819" s="18" t="s">
        <v>70</v>
      </c>
      <c r="I819" s="17"/>
      <c r="J819" s="17"/>
      <c r="K819" s="17"/>
      <c r="L819" s="14"/>
    </row>
    <row r="820" spans="1:12" ht="21.75" customHeight="1" x14ac:dyDescent="0.15">
      <c r="A820" s="14"/>
      <c r="B820" s="16"/>
      <c r="C820" s="17"/>
      <c r="D820" s="17"/>
      <c r="E820" s="17"/>
      <c r="F820" s="17"/>
      <c r="G820" s="17"/>
      <c r="H820" s="18" t="s">
        <v>70</v>
      </c>
      <c r="I820" s="17"/>
      <c r="J820" s="17"/>
      <c r="K820" s="17"/>
      <c r="L820" s="14"/>
    </row>
    <row r="821" spans="1:12" ht="21.75" customHeight="1" x14ac:dyDescent="0.15">
      <c r="A821" s="14"/>
      <c r="B821" s="16"/>
      <c r="C821" s="17"/>
      <c r="D821" s="17"/>
      <c r="E821" s="17"/>
      <c r="F821" s="17"/>
      <c r="G821" s="17"/>
      <c r="H821" s="18" t="s">
        <v>70</v>
      </c>
      <c r="I821" s="17"/>
      <c r="J821" s="17"/>
      <c r="K821" s="17"/>
      <c r="L821" s="14"/>
    </row>
    <row r="822" spans="1:12" ht="21.75" customHeight="1" x14ac:dyDescent="0.15">
      <c r="A822" s="14"/>
      <c r="B822" s="16"/>
      <c r="C822" s="17"/>
      <c r="D822" s="17"/>
      <c r="E822" s="17"/>
      <c r="F822" s="17"/>
      <c r="G822" s="17"/>
      <c r="H822" s="18" t="s">
        <v>70</v>
      </c>
      <c r="I822" s="17"/>
      <c r="J822" s="17"/>
      <c r="K822" s="17"/>
      <c r="L822" s="14"/>
    </row>
    <row r="823" spans="1:12" ht="21.75" customHeight="1" x14ac:dyDescent="0.15">
      <c r="A823" s="14"/>
      <c r="B823" s="16"/>
      <c r="C823" s="17"/>
      <c r="D823" s="17"/>
      <c r="E823" s="17"/>
      <c r="F823" s="17"/>
      <c r="G823" s="17"/>
      <c r="H823" s="18" t="s">
        <v>70</v>
      </c>
      <c r="I823" s="17"/>
      <c r="J823" s="17"/>
      <c r="K823" s="17"/>
      <c r="L823" s="14"/>
    </row>
    <row r="824" spans="1:12" ht="21.75" customHeight="1" x14ac:dyDescent="0.15">
      <c r="A824" s="14"/>
      <c r="B824" s="16"/>
      <c r="C824" s="17"/>
      <c r="D824" s="17"/>
      <c r="E824" s="17"/>
      <c r="F824" s="17"/>
      <c r="G824" s="17"/>
      <c r="H824" s="18" t="s">
        <v>70</v>
      </c>
      <c r="I824" s="17"/>
      <c r="J824" s="17"/>
      <c r="K824" s="17"/>
      <c r="L824" s="14"/>
    </row>
    <row r="825" spans="1:12" ht="21.75" customHeight="1" x14ac:dyDescent="0.15">
      <c r="A825" s="14"/>
      <c r="B825" s="16"/>
      <c r="C825" s="17"/>
      <c r="D825" s="17"/>
      <c r="E825" s="17"/>
      <c r="F825" s="17"/>
      <c r="G825" s="17"/>
      <c r="H825" s="18" t="s">
        <v>70</v>
      </c>
      <c r="I825" s="17"/>
      <c r="J825" s="17"/>
      <c r="K825" s="17"/>
      <c r="L825" s="14"/>
    </row>
    <row r="826" spans="1:12" ht="21.75" customHeight="1" x14ac:dyDescent="0.15">
      <c r="A826" s="14"/>
      <c r="B826" s="16"/>
      <c r="C826" s="17"/>
      <c r="D826" s="17"/>
      <c r="E826" s="17"/>
      <c r="F826" s="17"/>
      <c r="G826" s="17"/>
      <c r="H826" s="18" t="s">
        <v>70</v>
      </c>
      <c r="I826" s="17"/>
      <c r="J826" s="17"/>
      <c r="K826" s="17"/>
      <c r="L826" s="14"/>
    </row>
    <row r="827" spans="1:12" ht="21.75" customHeight="1" x14ac:dyDescent="0.15">
      <c r="A827" s="14"/>
      <c r="B827" s="16"/>
      <c r="C827" s="17"/>
      <c r="D827" s="17"/>
      <c r="E827" s="17"/>
      <c r="F827" s="17"/>
      <c r="G827" s="17"/>
      <c r="H827" s="18" t="s">
        <v>70</v>
      </c>
      <c r="I827" s="17"/>
      <c r="J827" s="17"/>
      <c r="K827" s="17"/>
      <c r="L827" s="14"/>
    </row>
    <row r="828" spans="1:12" ht="21.75" customHeight="1" x14ac:dyDescent="0.15">
      <c r="A828" s="14"/>
      <c r="B828" s="16"/>
      <c r="C828" s="17"/>
      <c r="D828" s="17"/>
      <c r="E828" s="17"/>
      <c r="F828" s="17"/>
      <c r="G828" s="17"/>
      <c r="H828" s="18" t="s">
        <v>70</v>
      </c>
      <c r="I828" s="17"/>
      <c r="J828" s="17"/>
      <c r="K828" s="17"/>
      <c r="L828" s="14"/>
    </row>
    <row r="829" spans="1:12" ht="21.75" customHeight="1" x14ac:dyDescent="0.15">
      <c r="A829" s="14"/>
      <c r="B829" s="16"/>
      <c r="C829" s="17"/>
      <c r="D829" s="17"/>
      <c r="E829" s="17"/>
      <c r="F829" s="17"/>
      <c r="G829" s="17"/>
      <c r="H829" s="18" t="s">
        <v>70</v>
      </c>
      <c r="I829" s="17"/>
      <c r="J829" s="17"/>
      <c r="K829" s="17"/>
      <c r="L829" s="14"/>
    </row>
    <row r="830" spans="1:12" ht="21.75" customHeight="1" x14ac:dyDescent="0.15">
      <c r="A830" s="14"/>
      <c r="B830" s="16"/>
      <c r="C830" s="17"/>
      <c r="D830" s="17"/>
      <c r="E830" s="17"/>
      <c r="F830" s="17"/>
      <c r="G830" s="17"/>
      <c r="H830" s="18" t="s">
        <v>70</v>
      </c>
      <c r="I830" s="17"/>
      <c r="J830" s="17"/>
      <c r="K830" s="17"/>
      <c r="L830" s="14"/>
    </row>
    <row r="831" spans="1:12" ht="21.75" customHeight="1" x14ac:dyDescent="0.15">
      <c r="A831" s="14"/>
      <c r="B831" s="16"/>
      <c r="C831" s="17"/>
      <c r="D831" s="17"/>
      <c r="E831" s="17"/>
      <c r="F831" s="17"/>
      <c r="G831" s="17"/>
      <c r="H831" s="18" t="s">
        <v>70</v>
      </c>
      <c r="I831" s="17"/>
      <c r="J831" s="17"/>
      <c r="K831" s="17"/>
      <c r="L831" s="14"/>
    </row>
    <row r="832" spans="1:12" ht="21.75" customHeight="1" x14ac:dyDescent="0.15">
      <c r="A832" s="14"/>
      <c r="B832" s="16"/>
      <c r="C832" s="17"/>
      <c r="D832" s="17"/>
      <c r="E832" s="17"/>
      <c r="F832" s="17"/>
      <c r="G832" s="17"/>
      <c r="H832" s="18" t="s">
        <v>70</v>
      </c>
      <c r="I832" s="17"/>
      <c r="J832" s="17"/>
      <c r="K832" s="17"/>
      <c r="L832" s="14"/>
    </row>
    <row r="833" spans="1:12" ht="21.75" customHeight="1" x14ac:dyDescent="0.15">
      <c r="A833" s="14"/>
      <c r="B833" s="16"/>
      <c r="C833" s="17"/>
      <c r="D833" s="17"/>
      <c r="E833" s="17"/>
      <c r="F833" s="17"/>
      <c r="G833" s="17"/>
      <c r="H833" s="18" t="s">
        <v>70</v>
      </c>
      <c r="I833" s="17"/>
      <c r="J833" s="17"/>
      <c r="K833" s="17"/>
      <c r="L833" s="14"/>
    </row>
    <row r="834" spans="1:12" ht="21.75" customHeight="1" x14ac:dyDescent="0.15">
      <c r="A834" s="14"/>
      <c r="B834" s="16"/>
      <c r="C834" s="17"/>
      <c r="D834" s="17"/>
      <c r="E834" s="17"/>
      <c r="F834" s="17"/>
      <c r="G834" s="17"/>
      <c r="H834" s="18" t="s">
        <v>70</v>
      </c>
      <c r="I834" s="17"/>
      <c r="J834" s="17"/>
      <c r="K834" s="17"/>
      <c r="L834" s="14"/>
    </row>
    <row r="835" spans="1:12" ht="21.75" customHeight="1" x14ac:dyDescent="0.15">
      <c r="A835" s="14"/>
      <c r="B835" s="16"/>
      <c r="C835" s="17"/>
      <c r="D835" s="17"/>
      <c r="E835" s="17"/>
      <c r="F835" s="17"/>
      <c r="G835" s="17"/>
      <c r="H835" s="18" t="s">
        <v>70</v>
      </c>
      <c r="I835" s="17"/>
      <c r="J835" s="17"/>
      <c r="K835" s="17"/>
      <c r="L835" s="14"/>
    </row>
    <row r="836" spans="1:12" ht="21.75" customHeight="1" x14ac:dyDescent="0.15">
      <c r="A836" s="14"/>
      <c r="B836" s="16"/>
      <c r="C836" s="17"/>
      <c r="D836" s="17"/>
      <c r="E836" s="17"/>
      <c r="F836" s="17"/>
      <c r="G836" s="17"/>
      <c r="H836" s="18" t="s">
        <v>70</v>
      </c>
      <c r="I836" s="17"/>
      <c r="J836" s="17"/>
      <c r="K836" s="17"/>
      <c r="L836" s="14"/>
    </row>
    <row r="837" spans="1:12" ht="21.75" customHeight="1" x14ac:dyDescent="0.15">
      <c r="A837" s="14"/>
      <c r="B837" s="16"/>
      <c r="C837" s="17"/>
      <c r="D837" s="17"/>
      <c r="E837" s="17"/>
      <c r="F837" s="17"/>
      <c r="G837" s="17"/>
      <c r="H837" s="18" t="s">
        <v>70</v>
      </c>
      <c r="I837" s="17"/>
      <c r="J837" s="17"/>
      <c r="K837" s="17"/>
      <c r="L837" s="14"/>
    </row>
    <row r="838" spans="1:12" ht="21.75" customHeight="1" x14ac:dyDescent="0.15">
      <c r="A838" s="14"/>
      <c r="B838" s="16"/>
      <c r="C838" s="17"/>
      <c r="D838" s="17"/>
      <c r="E838" s="17"/>
      <c r="F838" s="17"/>
      <c r="G838" s="17"/>
      <c r="H838" s="18" t="s">
        <v>70</v>
      </c>
      <c r="I838" s="17"/>
      <c r="J838" s="17"/>
      <c r="K838" s="17"/>
      <c r="L838" s="14"/>
    </row>
    <row r="839" spans="1:12" ht="21.75" customHeight="1" x14ac:dyDescent="0.15">
      <c r="A839" s="14"/>
      <c r="B839" s="16"/>
      <c r="C839" s="17"/>
      <c r="D839" s="17"/>
      <c r="E839" s="17"/>
      <c r="F839" s="17"/>
      <c r="G839" s="17"/>
      <c r="H839" s="18" t="s">
        <v>70</v>
      </c>
      <c r="I839" s="17"/>
      <c r="J839" s="17"/>
      <c r="K839" s="17"/>
      <c r="L839" s="14"/>
    </row>
    <row r="840" spans="1:12" ht="21.75" customHeight="1" x14ac:dyDescent="0.15">
      <c r="A840" s="14"/>
      <c r="B840" s="16"/>
      <c r="C840" s="17"/>
      <c r="D840" s="17"/>
      <c r="E840" s="17"/>
      <c r="F840" s="17"/>
      <c r="G840" s="17"/>
      <c r="H840" s="18" t="s">
        <v>70</v>
      </c>
      <c r="I840" s="17"/>
      <c r="J840" s="17"/>
      <c r="K840" s="17"/>
      <c r="L840" s="14"/>
    </row>
    <row r="841" spans="1:12" ht="21.75" customHeight="1" x14ac:dyDescent="0.15">
      <c r="A841" s="14"/>
      <c r="B841" s="16"/>
      <c r="C841" s="17"/>
      <c r="D841" s="17"/>
      <c r="E841" s="17"/>
      <c r="F841" s="17"/>
      <c r="G841" s="17"/>
      <c r="H841" s="18" t="s">
        <v>70</v>
      </c>
      <c r="I841" s="17"/>
      <c r="J841" s="17"/>
      <c r="K841" s="17"/>
      <c r="L841" s="14"/>
    </row>
    <row r="842" spans="1:12" ht="21.75" customHeight="1" x14ac:dyDescent="0.15">
      <c r="A842" s="14"/>
      <c r="B842" s="16"/>
      <c r="C842" s="17"/>
      <c r="D842" s="17"/>
      <c r="E842" s="17"/>
      <c r="F842" s="17"/>
      <c r="G842" s="17"/>
      <c r="H842" s="18" t="s">
        <v>70</v>
      </c>
      <c r="I842" s="17"/>
      <c r="J842" s="17"/>
      <c r="K842" s="17"/>
      <c r="L842" s="14"/>
    </row>
    <row r="843" spans="1:12" ht="21.75" customHeight="1" x14ac:dyDescent="0.15">
      <c r="A843" s="14"/>
      <c r="B843" s="16"/>
      <c r="C843" s="17"/>
      <c r="D843" s="17"/>
      <c r="E843" s="17"/>
      <c r="F843" s="17"/>
      <c r="G843" s="17"/>
      <c r="H843" s="18" t="s">
        <v>70</v>
      </c>
      <c r="I843" s="17"/>
      <c r="J843" s="17"/>
      <c r="K843" s="17"/>
      <c r="L843" s="14"/>
    </row>
    <row r="844" spans="1:12" ht="21.75" customHeight="1" x14ac:dyDescent="0.15">
      <c r="A844" s="14"/>
      <c r="B844" s="16"/>
      <c r="C844" s="17"/>
      <c r="D844" s="17"/>
      <c r="E844" s="17"/>
      <c r="F844" s="17"/>
      <c r="G844" s="17"/>
      <c r="H844" s="18" t="s">
        <v>70</v>
      </c>
      <c r="I844" s="17"/>
      <c r="J844" s="17"/>
      <c r="K844" s="17"/>
      <c r="L844" s="14"/>
    </row>
    <row r="845" spans="1:12" ht="21.75" customHeight="1" x14ac:dyDescent="0.15">
      <c r="A845" s="14"/>
      <c r="B845" s="16"/>
      <c r="C845" s="17"/>
      <c r="D845" s="17"/>
      <c r="E845" s="17"/>
      <c r="F845" s="17"/>
      <c r="G845" s="17"/>
      <c r="H845" s="18" t="s">
        <v>70</v>
      </c>
      <c r="I845" s="17"/>
      <c r="J845" s="17"/>
      <c r="K845" s="17"/>
      <c r="L845" s="14"/>
    </row>
    <row r="846" spans="1:12" ht="21.75" customHeight="1" x14ac:dyDescent="0.15">
      <c r="A846" s="14"/>
      <c r="B846" s="16"/>
      <c r="C846" s="17"/>
      <c r="D846" s="17"/>
      <c r="E846" s="17"/>
      <c r="F846" s="17"/>
      <c r="G846" s="17"/>
      <c r="H846" s="18" t="s">
        <v>70</v>
      </c>
      <c r="I846" s="17"/>
      <c r="J846" s="17"/>
      <c r="K846" s="17"/>
      <c r="L846" s="14"/>
    </row>
    <row r="847" spans="1:12" ht="21.75" customHeight="1" x14ac:dyDescent="0.15">
      <c r="A847" s="14"/>
      <c r="B847" s="16"/>
      <c r="C847" s="17"/>
      <c r="D847" s="17"/>
      <c r="E847" s="17"/>
      <c r="F847" s="17"/>
      <c r="G847" s="17"/>
      <c r="H847" s="18" t="s">
        <v>70</v>
      </c>
      <c r="I847" s="17"/>
      <c r="J847" s="17"/>
      <c r="K847" s="17"/>
      <c r="L847" s="14"/>
    </row>
    <row r="848" spans="1:12" ht="21.75" customHeight="1" x14ac:dyDescent="0.15">
      <c r="A848" s="14"/>
      <c r="B848" s="16"/>
      <c r="C848" s="17"/>
      <c r="D848" s="17"/>
      <c r="E848" s="17"/>
      <c r="F848" s="17"/>
      <c r="G848" s="17"/>
      <c r="H848" s="18" t="s">
        <v>70</v>
      </c>
      <c r="I848" s="17"/>
      <c r="J848" s="17"/>
      <c r="K848" s="17"/>
      <c r="L848" s="14"/>
    </row>
    <row r="849" spans="1:12" ht="21.75" customHeight="1" x14ac:dyDescent="0.15">
      <c r="A849" s="14"/>
      <c r="B849" s="16"/>
      <c r="C849" s="17"/>
      <c r="D849" s="17"/>
      <c r="E849" s="17"/>
      <c r="F849" s="17"/>
      <c r="G849" s="17"/>
      <c r="H849" s="18" t="s">
        <v>70</v>
      </c>
      <c r="I849" s="17"/>
      <c r="J849" s="17"/>
      <c r="K849" s="17"/>
      <c r="L849" s="14"/>
    </row>
    <row r="850" spans="1:12" ht="21.75" customHeight="1" x14ac:dyDescent="0.15">
      <c r="A850" s="14"/>
      <c r="B850" s="16"/>
      <c r="C850" s="17"/>
      <c r="D850" s="17"/>
      <c r="E850" s="17"/>
      <c r="F850" s="17"/>
      <c r="G850" s="17"/>
      <c r="H850" s="18" t="s">
        <v>70</v>
      </c>
      <c r="I850" s="17"/>
      <c r="J850" s="17"/>
      <c r="K850" s="17"/>
      <c r="L850" s="14"/>
    </row>
    <row r="851" spans="1:12" ht="21.75" customHeight="1" x14ac:dyDescent="0.15">
      <c r="A851" s="14"/>
      <c r="B851" s="16"/>
      <c r="C851" s="17"/>
      <c r="D851" s="17"/>
      <c r="E851" s="17"/>
      <c r="F851" s="17"/>
      <c r="G851" s="17"/>
      <c r="H851" s="18" t="s">
        <v>70</v>
      </c>
      <c r="I851" s="17"/>
      <c r="J851" s="17"/>
      <c r="K851" s="17"/>
      <c r="L851" s="14"/>
    </row>
    <row r="852" spans="1:12" ht="21.75" customHeight="1" x14ac:dyDescent="0.15">
      <c r="A852" s="14"/>
      <c r="B852" s="16"/>
      <c r="C852" s="17"/>
      <c r="D852" s="17"/>
      <c r="E852" s="17"/>
      <c r="F852" s="17"/>
      <c r="G852" s="17"/>
      <c r="H852" s="18" t="s">
        <v>70</v>
      </c>
      <c r="I852" s="17"/>
      <c r="J852" s="17"/>
      <c r="K852" s="17"/>
      <c r="L852" s="14"/>
    </row>
    <row r="853" spans="1:12" ht="21.75" customHeight="1" x14ac:dyDescent="0.15">
      <c r="A853" s="14"/>
      <c r="B853" s="16"/>
      <c r="C853" s="17"/>
      <c r="D853" s="17"/>
      <c r="E853" s="17"/>
      <c r="F853" s="17"/>
      <c r="G853" s="17"/>
      <c r="H853" s="18" t="s">
        <v>70</v>
      </c>
      <c r="I853" s="17"/>
      <c r="J853" s="17"/>
      <c r="K853" s="17"/>
      <c r="L853" s="14"/>
    </row>
    <row r="854" spans="1:12" ht="21.75" customHeight="1" x14ac:dyDescent="0.15">
      <c r="A854" s="14"/>
      <c r="B854" s="16"/>
      <c r="C854" s="17"/>
      <c r="D854" s="17"/>
      <c r="E854" s="17"/>
      <c r="F854" s="17"/>
      <c r="G854" s="17"/>
      <c r="H854" s="18" t="s">
        <v>70</v>
      </c>
      <c r="I854" s="17"/>
      <c r="J854" s="17"/>
      <c r="K854" s="17"/>
      <c r="L854" s="14"/>
    </row>
    <row r="855" spans="1:12" ht="21.75" customHeight="1" x14ac:dyDescent="0.15">
      <c r="A855" s="14"/>
      <c r="B855" s="16"/>
      <c r="C855" s="17"/>
      <c r="D855" s="17"/>
      <c r="E855" s="17"/>
      <c r="F855" s="17"/>
      <c r="G855" s="17"/>
      <c r="H855" s="18" t="s">
        <v>70</v>
      </c>
      <c r="I855" s="17"/>
      <c r="J855" s="17"/>
      <c r="K855" s="17"/>
      <c r="L855" s="14"/>
    </row>
    <row r="856" spans="1:12" ht="21.75" customHeight="1" x14ac:dyDescent="0.15">
      <c r="A856" s="14"/>
      <c r="B856" s="16"/>
      <c r="C856" s="17"/>
      <c r="D856" s="17"/>
      <c r="E856" s="17"/>
      <c r="F856" s="17"/>
      <c r="G856" s="17"/>
      <c r="H856" s="18" t="s">
        <v>70</v>
      </c>
      <c r="I856" s="17"/>
      <c r="J856" s="17"/>
      <c r="K856" s="17"/>
      <c r="L856" s="14"/>
    </row>
    <row r="857" spans="1:12" ht="21.75" customHeight="1" x14ac:dyDescent="0.15">
      <c r="A857" s="14"/>
      <c r="B857" s="16"/>
      <c r="C857" s="17"/>
      <c r="D857" s="17"/>
      <c r="E857" s="17"/>
      <c r="F857" s="17"/>
      <c r="G857" s="17"/>
      <c r="H857" s="18" t="s">
        <v>70</v>
      </c>
      <c r="I857" s="17"/>
      <c r="J857" s="17"/>
      <c r="K857" s="17"/>
      <c r="L857" s="14"/>
    </row>
    <row r="858" spans="1:12" ht="21.75" customHeight="1" x14ac:dyDescent="0.15">
      <c r="A858" s="14"/>
      <c r="B858" s="16"/>
      <c r="C858" s="17"/>
      <c r="D858" s="17"/>
      <c r="E858" s="17"/>
      <c r="F858" s="17"/>
      <c r="G858" s="17"/>
      <c r="H858" s="18" t="s">
        <v>70</v>
      </c>
      <c r="I858" s="17"/>
      <c r="J858" s="17"/>
      <c r="K858" s="17"/>
      <c r="L858" s="14"/>
    </row>
    <row r="859" spans="1:12" ht="21.75" customHeight="1" x14ac:dyDescent="0.15">
      <c r="A859" s="14"/>
      <c r="B859" s="16"/>
      <c r="C859" s="17"/>
      <c r="D859" s="17"/>
      <c r="E859" s="17"/>
      <c r="F859" s="17"/>
      <c r="G859" s="17"/>
      <c r="H859" s="18" t="s">
        <v>70</v>
      </c>
      <c r="I859" s="17"/>
      <c r="J859" s="17"/>
      <c r="K859" s="17"/>
      <c r="L859" s="14"/>
    </row>
    <row r="860" spans="1:12" ht="21.75" customHeight="1" x14ac:dyDescent="0.15">
      <c r="A860" s="14"/>
      <c r="B860" s="16"/>
      <c r="C860" s="17"/>
      <c r="D860" s="17"/>
      <c r="E860" s="17"/>
      <c r="F860" s="17"/>
      <c r="G860" s="17"/>
      <c r="H860" s="18" t="s">
        <v>70</v>
      </c>
      <c r="I860" s="17"/>
      <c r="J860" s="17"/>
      <c r="K860" s="17"/>
      <c r="L860" s="14"/>
    </row>
    <row r="861" spans="1:12" ht="21.75" customHeight="1" x14ac:dyDescent="0.15">
      <c r="A861" s="14"/>
      <c r="B861" s="16"/>
      <c r="C861" s="17"/>
      <c r="D861" s="17"/>
      <c r="E861" s="17"/>
      <c r="F861" s="17"/>
      <c r="G861" s="17"/>
      <c r="H861" s="18" t="s">
        <v>70</v>
      </c>
      <c r="I861" s="17"/>
      <c r="J861" s="17"/>
      <c r="K861" s="17"/>
      <c r="L861" s="14"/>
    </row>
    <row r="862" spans="1:12" ht="21.75" customHeight="1" x14ac:dyDescent="0.15">
      <c r="A862" s="14"/>
      <c r="B862" s="16"/>
      <c r="C862" s="17"/>
      <c r="D862" s="17"/>
      <c r="E862" s="17"/>
      <c r="F862" s="17"/>
      <c r="G862" s="17"/>
      <c r="H862" s="18" t="s">
        <v>70</v>
      </c>
      <c r="I862" s="17"/>
      <c r="J862" s="17"/>
      <c r="K862" s="17"/>
      <c r="L862" s="14"/>
    </row>
    <row r="863" spans="1:12" ht="21.75" customHeight="1" x14ac:dyDescent="0.15">
      <c r="A863" s="14"/>
      <c r="B863" s="16"/>
      <c r="C863" s="17"/>
      <c r="D863" s="17"/>
      <c r="E863" s="17"/>
      <c r="F863" s="17"/>
      <c r="G863" s="17"/>
      <c r="H863" s="18" t="s">
        <v>70</v>
      </c>
      <c r="I863" s="17"/>
      <c r="J863" s="17"/>
      <c r="K863" s="17"/>
      <c r="L863" s="14"/>
    </row>
    <row r="864" spans="1:12" ht="21.75" customHeight="1" x14ac:dyDescent="0.15">
      <c r="A864" s="14"/>
      <c r="B864" s="16"/>
      <c r="C864" s="17"/>
      <c r="D864" s="17"/>
      <c r="E864" s="17"/>
      <c r="F864" s="17"/>
      <c r="G864" s="17"/>
      <c r="H864" s="18" t="s">
        <v>70</v>
      </c>
      <c r="I864" s="17"/>
      <c r="J864" s="17"/>
      <c r="K864" s="17"/>
      <c r="L864" s="14"/>
    </row>
    <row r="865" spans="1:12" ht="21.75" customHeight="1" x14ac:dyDescent="0.15">
      <c r="A865" s="14"/>
      <c r="B865" s="16"/>
      <c r="C865" s="17"/>
      <c r="D865" s="17"/>
      <c r="E865" s="17"/>
      <c r="F865" s="17"/>
      <c r="G865" s="17"/>
      <c r="H865" s="18" t="s">
        <v>70</v>
      </c>
      <c r="I865" s="17"/>
      <c r="J865" s="17"/>
      <c r="K865" s="17"/>
      <c r="L865" s="14"/>
    </row>
    <row r="866" spans="1:12" ht="21.75" customHeight="1" x14ac:dyDescent="0.15">
      <c r="A866" s="14"/>
      <c r="B866" s="16"/>
      <c r="C866" s="17"/>
      <c r="D866" s="17"/>
      <c r="E866" s="17"/>
      <c r="F866" s="17"/>
      <c r="G866" s="17"/>
      <c r="H866" s="18" t="s">
        <v>70</v>
      </c>
      <c r="I866" s="17"/>
      <c r="J866" s="17"/>
      <c r="K866" s="17"/>
      <c r="L866" s="14"/>
    </row>
    <row r="867" spans="1:12" ht="21.75" customHeight="1" x14ac:dyDescent="0.15">
      <c r="A867" s="14"/>
      <c r="B867" s="16"/>
      <c r="C867" s="17"/>
      <c r="D867" s="17"/>
      <c r="E867" s="17"/>
      <c r="F867" s="17"/>
      <c r="G867" s="17"/>
      <c r="H867" s="18" t="s">
        <v>70</v>
      </c>
      <c r="I867" s="17"/>
      <c r="J867" s="17"/>
      <c r="K867" s="17"/>
      <c r="L867" s="14"/>
    </row>
    <row r="868" spans="1:12" ht="21.75" customHeight="1" x14ac:dyDescent="0.15">
      <c r="A868" s="14"/>
      <c r="B868" s="16"/>
      <c r="C868" s="17"/>
      <c r="D868" s="17"/>
      <c r="E868" s="17"/>
      <c r="F868" s="17"/>
      <c r="G868" s="17"/>
      <c r="H868" s="18" t="s">
        <v>70</v>
      </c>
      <c r="I868" s="17"/>
      <c r="J868" s="17"/>
      <c r="K868" s="17"/>
      <c r="L868" s="14"/>
    </row>
    <row r="869" spans="1:12" ht="21.75" customHeight="1" x14ac:dyDescent="0.15">
      <c r="A869" s="14"/>
      <c r="B869" s="16"/>
      <c r="C869" s="17"/>
      <c r="D869" s="17"/>
      <c r="E869" s="17"/>
      <c r="F869" s="17"/>
      <c r="G869" s="17"/>
      <c r="H869" s="18" t="s">
        <v>70</v>
      </c>
      <c r="I869" s="17"/>
      <c r="J869" s="17"/>
      <c r="K869" s="17"/>
      <c r="L869" s="14"/>
    </row>
    <row r="870" spans="1:12" ht="21.75" customHeight="1" x14ac:dyDescent="0.15">
      <c r="A870" s="14"/>
      <c r="B870" s="16"/>
      <c r="C870" s="17"/>
      <c r="D870" s="17"/>
      <c r="E870" s="17"/>
      <c r="F870" s="17"/>
      <c r="G870" s="17"/>
      <c r="H870" s="18" t="s">
        <v>70</v>
      </c>
      <c r="I870" s="17"/>
      <c r="J870" s="17"/>
      <c r="K870" s="17"/>
      <c r="L870" s="14"/>
    </row>
    <row r="871" spans="1:12" ht="21.75" customHeight="1" x14ac:dyDescent="0.15">
      <c r="A871" s="14"/>
      <c r="B871" s="16"/>
      <c r="C871" s="17"/>
      <c r="D871" s="17"/>
      <c r="E871" s="17"/>
      <c r="F871" s="17"/>
      <c r="G871" s="17"/>
      <c r="H871" s="18" t="s">
        <v>70</v>
      </c>
      <c r="I871" s="17"/>
      <c r="J871" s="17"/>
      <c r="K871" s="17"/>
      <c r="L871" s="14"/>
    </row>
    <row r="872" spans="1:12" ht="21.75" customHeight="1" x14ac:dyDescent="0.15">
      <c r="A872" s="14"/>
      <c r="B872" s="16"/>
      <c r="C872" s="17"/>
      <c r="D872" s="17"/>
      <c r="E872" s="17"/>
      <c r="F872" s="17"/>
      <c r="G872" s="17"/>
      <c r="H872" s="18" t="s">
        <v>70</v>
      </c>
      <c r="I872" s="17"/>
      <c r="J872" s="17"/>
      <c r="K872" s="17"/>
      <c r="L872" s="14"/>
    </row>
    <row r="873" spans="1:12" ht="21.75" customHeight="1" x14ac:dyDescent="0.15">
      <c r="A873" s="14"/>
      <c r="B873" s="16"/>
      <c r="C873" s="17"/>
      <c r="D873" s="17"/>
      <c r="E873" s="17"/>
      <c r="F873" s="17"/>
      <c r="G873" s="17"/>
      <c r="H873" s="18" t="s">
        <v>70</v>
      </c>
      <c r="I873" s="17"/>
      <c r="J873" s="17"/>
      <c r="K873" s="17"/>
      <c r="L873" s="14"/>
    </row>
    <row r="874" spans="1:12" ht="21.75" customHeight="1" x14ac:dyDescent="0.15">
      <c r="A874" s="14"/>
      <c r="B874" s="16"/>
      <c r="C874" s="17"/>
      <c r="D874" s="17"/>
      <c r="E874" s="17"/>
      <c r="F874" s="17"/>
      <c r="G874" s="17"/>
      <c r="H874" s="18" t="s">
        <v>70</v>
      </c>
      <c r="I874" s="17"/>
      <c r="J874" s="17"/>
      <c r="K874" s="17"/>
      <c r="L874" s="14"/>
    </row>
    <row r="875" spans="1:12" ht="21.75" customHeight="1" x14ac:dyDescent="0.15">
      <c r="A875" s="14"/>
      <c r="B875" s="16"/>
      <c r="C875" s="17"/>
      <c r="D875" s="17"/>
      <c r="E875" s="17"/>
      <c r="F875" s="17"/>
      <c r="G875" s="17"/>
      <c r="H875" s="18" t="s">
        <v>70</v>
      </c>
      <c r="I875" s="17"/>
      <c r="J875" s="17"/>
      <c r="K875" s="17"/>
      <c r="L875" s="14"/>
    </row>
    <row r="876" spans="1:12" ht="21.75" customHeight="1" x14ac:dyDescent="0.15">
      <c r="A876" s="14"/>
      <c r="B876" s="16"/>
      <c r="C876" s="17"/>
      <c r="D876" s="17"/>
      <c r="E876" s="17"/>
      <c r="F876" s="17"/>
      <c r="G876" s="17"/>
      <c r="H876" s="18" t="s">
        <v>70</v>
      </c>
      <c r="I876" s="17"/>
      <c r="J876" s="17"/>
      <c r="K876" s="17"/>
      <c r="L876" s="14"/>
    </row>
    <row r="877" spans="1:12" ht="21.75" customHeight="1" x14ac:dyDescent="0.15">
      <c r="A877" s="14"/>
      <c r="B877" s="16"/>
      <c r="C877" s="17"/>
      <c r="D877" s="17"/>
      <c r="E877" s="17"/>
      <c r="F877" s="17"/>
      <c r="G877" s="17"/>
      <c r="H877" s="18" t="s">
        <v>70</v>
      </c>
      <c r="I877" s="17"/>
      <c r="J877" s="17"/>
      <c r="K877" s="17"/>
      <c r="L877" s="14"/>
    </row>
    <row r="878" spans="1:12" ht="21.75" customHeight="1" x14ac:dyDescent="0.15">
      <c r="A878" s="14"/>
      <c r="B878" s="16"/>
      <c r="C878" s="17"/>
      <c r="D878" s="17"/>
      <c r="E878" s="17"/>
      <c r="F878" s="17"/>
      <c r="G878" s="17"/>
      <c r="H878" s="18" t="s">
        <v>70</v>
      </c>
      <c r="I878" s="17"/>
      <c r="J878" s="17"/>
      <c r="K878" s="17"/>
      <c r="L878" s="14"/>
    </row>
    <row r="879" spans="1:12" ht="21.75" customHeight="1" x14ac:dyDescent="0.15">
      <c r="A879" s="14"/>
      <c r="B879" s="16"/>
      <c r="C879" s="17"/>
      <c r="D879" s="17"/>
      <c r="E879" s="17"/>
      <c r="F879" s="17"/>
      <c r="G879" s="17"/>
      <c r="H879" s="18" t="s">
        <v>70</v>
      </c>
      <c r="I879" s="17"/>
      <c r="J879" s="17"/>
      <c r="K879" s="17"/>
      <c r="L879" s="14"/>
    </row>
    <row r="880" spans="1:12" ht="21.75" customHeight="1" x14ac:dyDescent="0.15">
      <c r="A880" s="14"/>
      <c r="B880" s="16"/>
      <c r="C880" s="17"/>
      <c r="D880" s="17"/>
      <c r="E880" s="17"/>
      <c r="F880" s="17"/>
      <c r="G880" s="17"/>
      <c r="H880" s="18" t="s">
        <v>70</v>
      </c>
      <c r="I880" s="17"/>
      <c r="J880" s="17"/>
      <c r="K880" s="17"/>
      <c r="L880" s="14"/>
    </row>
    <row r="881" spans="1:12" ht="21.75" customHeight="1" x14ac:dyDescent="0.15">
      <c r="A881" s="14"/>
      <c r="B881" s="16"/>
      <c r="C881" s="17"/>
      <c r="D881" s="17"/>
      <c r="E881" s="17"/>
      <c r="F881" s="17"/>
      <c r="G881" s="17"/>
      <c r="H881" s="18" t="s">
        <v>70</v>
      </c>
      <c r="I881" s="17"/>
      <c r="J881" s="17"/>
      <c r="K881" s="17"/>
      <c r="L881" s="14"/>
    </row>
    <row r="882" spans="1:12" ht="21.75" customHeight="1" x14ac:dyDescent="0.15">
      <c r="A882" s="14"/>
      <c r="B882" s="16"/>
      <c r="C882" s="17"/>
      <c r="D882" s="17"/>
      <c r="E882" s="17"/>
      <c r="F882" s="17"/>
      <c r="G882" s="17"/>
      <c r="H882" s="18" t="s">
        <v>70</v>
      </c>
      <c r="I882" s="17"/>
      <c r="J882" s="17"/>
      <c r="K882" s="17"/>
      <c r="L882" s="14"/>
    </row>
    <row r="883" spans="1:12" ht="21.75" customHeight="1" x14ac:dyDescent="0.15">
      <c r="A883" s="14"/>
      <c r="B883" s="16"/>
      <c r="C883" s="17"/>
      <c r="D883" s="17"/>
      <c r="E883" s="17"/>
      <c r="F883" s="17"/>
      <c r="G883" s="17"/>
      <c r="H883" s="18" t="s">
        <v>70</v>
      </c>
      <c r="I883" s="17"/>
      <c r="J883" s="17"/>
      <c r="K883" s="17"/>
      <c r="L883" s="14"/>
    </row>
    <row r="884" spans="1:12" ht="21.75" customHeight="1" x14ac:dyDescent="0.15">
      <c r="A884" s="14"/>
      <c r="B884" s="16"/>
      <c r="C884" s="17"/>
      <c r="D884" s="17"/>
      <c r="E884" s="17"/>
      <c r="F884" s="17"/>
      <c r="G884" s="17"/>
      <c r="H884" s="18" t="s">
        <v>70</v>
      </c>
      <c r="I884" s="17"/>
      <c r="J884" s="17"/>
      <c r="K884" s="17"/>
      <c r="L884" s="14"/>
    </row>
    <row r="885" spans="1:12" ht="21.75" customHeight="1" x14ac:dyDescent="0.15">
      <c r="A885" s="14"/>
      <c r="B885" s="16"/>
      <c r="C885" s="17"/>
      <c r="D885" s="17"/>
      <c r="E885" s="17"/>
      <c r="F885" s="17"/>
      <c r="G885" s="17"/>
      <c r="H885" s="18" t="s">
        <v>70</v>
      </c>
      <c r="I885" s="17"/>
      <c r="J885" s="17"/>
      <c r="K885" s="17"/>
      <c r="L885" s="14"/>
    </row>
    <row r="886" spans="1:12" ht="21.75" customHeight="1" x14ac:dyDescent="0.15">
      <c r="A886" s="14"/>
      <c r="B886" s="16"/>
      <c r="C886" s="17"/>
      <c r="D886" s="17"/>
      <c r="E886" s="17"/>
      <c r="F886" s="17"/>
      <c r="G886" s="17"/>
      <c r="H886" s="18" t="s">
        <v>70</v>
      </c>
      <c r="I886" s="17"/>
      <c r="J886" s="17"/>
      <c r="K886" s="17"/>
      <c r="L886" s="14"/>
    </row>
    <row r="887" spans="1:12" ht="21.75" customHeight="1" x14ac:dyDescent="0.15">
      <c r="A887" s="14"/>
      <c r="B887" s="16"/>
      <c r="C887" s="17"/>
      <c r="D887" s="17"/>
      <c r="E887" s="17"/>
      <c r="F887" s="17"/>
      <c r="G887" s="17"/>
      <c r="H887" s="18" t="s">
        <v>70</v>
      </c>
      <c r="I887" s="17"/>
      <c r="J887" s="17"/>
      <c r="K887" s="17"/>
      <c r="L887" s="14"/>
    </row>
    <row r="888" spans="1:12" ht="21.75" customHeight="1" x14ac:dyDescent="0.15">
      <c r="A888" s="14"/>
      <c r="B888" s="16"/>
      <c r="C888" s="17"/>
      <c r="D888" s="17"/>
      <c r="E888" s="17"/>
      <c r="F888" s="17"/>
      <c r="G888" s="17"/>
      <c r="H888" s="18" t="s">
        <v>70</v>
      </c>
      <c r="I888" s="17"/>
      <c r="J888" s="17"/>
      <c r="K888" s="17"/>
      <c r="L888" s="14"/>
    </row>
    <row r="889" spans="1:12" ht="21.75" customHeight="1" x14ac:dyDescent="0.15">
      <c r="A889" s="14"/>
      <c r="B889" s="16"/>
      <c r="C889" s="17"/>
      <c r="D889" s="17"/>
      <c r="E889" s="17"/>
      <c r="F889" s="17"/>
      <c r="G889" s="17"/>
      <c r="H889" s="18" t="s">
        <v>70</v>
      </c>
      <c r="I889" s="17"/>
      <c r="J889" s="17"/>
      <c r="K889" s="17"/>
      <c r="L889" s="14"/>
    </row>
    <row r="890" spans="1:12" ht="21.75" customHeight="1" x14ac:dyDescent="0.15">
      <c r="A890" s="14"/>
      <c r="B890" s="16"/>
      <c r="C890" s="17"/>
      <c r="D890" s="17"/>
      <c r="E890" s="17"/>
      <c r="F890" s="17"/>
      <c r="G890" s="17"/>
      <c r="H890" s="18" t="s">
        <v>70</v>
      </c>
      <c r="I890" s="17"/>
      <c r="J890" s="17"/>
      <c r="K890" s="17"/>
      <c r="L890" s="14"/>
    </row>
    <row r="891" spans="1:12" ht="21.75" customHeight="1" x14ac:dyDescent="0.15">
      <c r="A891" s="14"/>
      <c r="B891" s="16"/>
      <c r="C891" s="17"/>
      <c r="D891" s="17"/>
      <c r="E891" s="17"/>
      <c r="F891" s="17"/>
      <c r="G891" s="17"/>
      <c r="H891" s="18" t="s">
        <v>70</v>
      </c>
      <c r="I891" s="17"/>
      <c r="J891" s="17"/>
      <c r="K891" s="17"/>
      <c r="L891" s="14"/>
    </row>
    <row r="892" spans="1:12" ht="21.75" customHeight="1" x14ac:dyDescent="0.15">
      <c r="A892" s="14"/>
      <c r="B892" s="16"/>
      <c r="C892" s="17"/>
      <c r="D892" s="17"/>
      <c r="E892" s="17"/>
      <c r="F892" s="17"/>
      <c r="G892" s="17"/>
      <c r="H892" s="18" t="s">
        <v>70</v>
      </c>
      <c r="I892" s="17"/>
      <c r="J892" s="17"/>
      <c r="K892" s="17"/>
      <c r="L892" s="14"/>
    </row>
    <row r="893" spans="1:12" ht="21.75" customHeight="1" x14ac:dyDescent="0.15">
      <c r="A893" s="14"/>
      <c r="B893" s="16"/>
      <c r="C893" s="17"/>
      <c r="D893" s="17"/>
      <c r="E893" s="17"/>
      <c r="F893" s="17"/>
      <c r="G893" s="17"/>
      <c r="H893" s="18" t="s">
        <v>70</v>
      </c>
      <c r="I893" s="17"/>
      <c r="J893" s="17"/>
      <c r="K893" s="17"/>
      <c r="L893" s="14"/>
    </row>
    <row r="894" spans="1:12" ht="21.75" customHeight="1" x14ac:dyDescent="0.15">
      <c r="A894" s="14"/>
      <c r="B894" s="16"/>
      <c r="C894" s="17"/>
      <c r="D894" s="17"/>
      <c r="E894" s="17"/>
      <c r="F894" s="17"/>
      <c r="G894" s="17"/>
      <c r="H894" s="18" t="s">
        <v>70</v>
      </c>
      <c r="I894" s="17"/>
      <c r="J894" s="17"/>
      <c r="K894" s="17"/>
      <c r="L894" s="14"/>
    </row>
    <row r="895" spans="1:12" ht="21.75" customHeight="1" x14ac:dyDescent="0.15">
      <c r="A895" s="14"/>
      <c r="B895" s="16"/>
      <c r="C895" s="17"/>
      <c r="D895" s="17"/>
      <c r="E895" s="17"/>
      <c r="F895" s="17"/>
      <c r="G895" s="17"/>
      <c r="H895" s="18" t="s">
        <v>70</v>
      </c>
      <c r="I895" s="17"/>
      <c r="J895" s="17"/>
      <c r="K895" s="17"/>
      <c r="L895" s="14"/>
    </row>
    <row r="896" spans="1:12" ht="21.75" customHeight="1" x14ac:dyDescent="0.15">
      <c r="A896" s="14"/>
      <c r="B896" s="16"/>
      <c r="C896" s="17"/>
      <c r="D896" s="17"/>
      <c r="E896" s="17"/>
      <c r="F896" s="17"/>
      <c r="G896" s="17"/>
      <c r="H896" s="18" t="s">
        <v>70</v>
      </c>
      <c r="I896" s="17"/>
      <c r="J896" s="17"/>
      <c r="K896" s="17"/>
      <c r="L896" s="14"/>
    </row>
    <row r="897" spans="1:12" ht="21.75" customHeight="1" x14ac:dyDescent="0.15">
      <c r="A897" s="14"/>
      <c r="B897" s="16"/>
      <c r="C897" s="17"/>
      <c r="D897" s="17"/>
      <c r="E897" s="17"/>
      <c r="F897" s="17"/>
      <c r="G897" s="17"/>
      <c r="H897" s="18" t="s">
        <v>70</v>
      </c>
      <c r="I897" s="17"/>
      <c r="J897" s="17"/>
      <c r="K897" s="17"/>
      <c r="L897" s="14"/>
    </row>
    <row r="898" spans="1:12" ht="21.75" customHeight="1" x14ac:dyDescent="0.15">
      <c r="A898" s="14"/>
      <c r="B898" s="16"/>
      <c r="C898" s="17"/>
      <c r="D898" s="17"/>
      <c r="E898" s="17"/>
      <c r="F898" s="17"/>
      <c r="G898" s="17"/>
      <c r="H898" s="18" t="s">
        <v>70</v>
      </c>
      <c r="I898" s="17"/>
      <c r="J898" s="17"/>
      <c r="K898" s="17"/>
      <c r="L898" s="14"/>
    </row>
    <row r="899" spans="1:12" ht="21.75" customHeight="1" x14ac:dyDescent="0.15">
      <c r="A899" s="14"/>
      <c r="B899" s="16"/>
      <c r="C899" s="17"/>
      <c r="D899" s="17"/>
      <c r="E899" s="17"/>
      <c r="F899" s="17"/>
      <c r="G899" s="17"/>
      <c r="H899" s="18" t="s">
        <v>70</v>
      </c>
      <c r="I899" s="17"/>
      <c r="J899" s="17"/>
      <c r="K899" s="17"/>
      <c r="L899" s="14"/>
    </row>
    <row r="900" spans="1:12" ht="21.75" customHeight="1" x14ac:dyDescent="0.15">
      <c r="A900" s="14"/>
      <c r="B900" s="16"/>
      <c r="C900" s="17"/>
      <c r="D900" s="17"/>
      <c r="E900" s="17"/>
      <c r="F900" s="17"/>
      <c r="G900" s="17"/>
      <c r="H900" s="18" t="s">
        <v>70</v>
      </c>
      <c r="I900" s="17"/>
      <c r="J900" s="17"/>
      <c r="K900" s="17"/>
      <c r="L900" s="14"/>
    </row>
    <row r="901" spans="1:12" ht="21.75" customHeight="1" x14ac:dyDescent="0.15">
      <c r="A901" s="14"/>
      <c r="B901" s="16"/>
      <c r="C901" s="17"/>
      <c r="D901" s="17"/>
      <c r="E901" s="17"/>
      <c r="F901" s="17"/>
      <c r="G901" s="17"/>
      <c r="H901" s="18" t="s">
        <v>70</v>
      </c>
      <c r="I901" s="17"/>
      <c r="J901" s="17"/>
      <c r="K901" s="17"/>
      <c r="L901" s="14"/>
    </row>
    <row r="902" spans="1:12" ht="21.75" customHeight="1" x14ac:dyDescent="0.15">
      <c r="A902" s="14"/>
      <c r="B902" s="16"/>
      <c r="C902" s="17"/>
      <c r="D902" s="17"/>
      <c r="E902" s="17"/>
      <c r="F902" s="17"/>
      <c r="G902" s="17"/>
      <c r="H902" s="18" t="s">
        <v>70</v>
      </c>
      <c r="I902" s="17"/>
      <c r="J902" s="17"/>
      <c r="K902" s="17"/>
      <c r="L902" s="14"/>
    </row>
    <row r="903" spans="1:12" ht="21.75" customHeight="1" x14ac:dyDescent="0.15">
      <c r="A903" s="14"/>
      <c r="B903" s="16"/>
      <c r="C903" s="17"/>
      <c r="D903" s="17"/>
      <c r="E903" s="17"/>
      <c r="F903" s="17"/>
      <c r="G903" s="17"/>
      <c r="H903" s="18" t="s">
        <v>70</v>
      </c>
      <c r="I903" s="17"/>
      <c r="J903" s="17"/>
      <c r="K903" s="17"/>
      <c r="L903" s="14"/>
    </row>
    <row r="904" spans="1:12" ht="21.75" customHeight="1" x14ac:dyDescent="0.15">
      <c r="A904" s="14"/>
      <c r="B904" s="16"/>
      <c r="C904" s="17"/>
      <c r="D904" s="17"/>
      <c r="E904" s="17"/>
      <c r="F904" s="17"/>
      <c r="G904" s="17"/>
      <c r="H904" s="18" t="s">
        <v>70</v>
      </c>
      <c r="I904" s="17"/>
      <c r="J904" s="17"/>
      <c r="K904" s="17"/>
      <c r="L904" s="14"/>
    </row>
    <row r="905" spans="1:12" ht="21.75" customHeight="1" x14ac:dyDescent="0.15">
      <c r="A905" s="14"/>
      <c r="B905" s="16"/>
      <c r="C905" s="17"/>
      <c r="D905" s="17"/>
      <c r="E905" s="17"/>
      <c r="F905" s="17"/>
      <c r="G905" s="17"/>
      <c r="H905" s="18" t="s">
        <v>70</v>
      </c>
      <c r="I905" s="17"/>
      <c r="J905" s="17"/>
      <c r="K905" s="17"/>
      <c r="L905" s="14"/>
    </row>
    <row r="906" spans="1:12" ht="21.75" customHeight="1" x14ac:dyDescent="0.15">
      <c r="A906" s="14"/>
      <c r="B906" s="16"/>
      <c r="C906" s="17"/>
      <c r="D906" s="17"/>
      <c r="E906" s="17"/>
      <c r="F906" s="17"/>
      <c r="G906" s="17"/>
      <c r="H906" s="18" t="s">
        <v>70</v>
      </c>
      <c r="I906" s="17"/>
      <c r="J906" s="17"/>
      <c r="K906" s="17"/>
      <c r="L906" s="14"/>
    </row>
    <row r="907" spans="1:12" ht="21.75" customHeight="1" x14ac:dyDescent="0.15">
      <c r="A907" s="14"/>
      <c r="B907" s="16"/>
      <c r="C907" s="17"/>
      <c r="D907" s="17"/>
      <c r="E907" s="17"/>
      <c r="F907" s="17"/>
      <c r="G907" s="17"/>
      <c r="H907" s="18" t="s">
        <v>70</v>
      </c>
      <c r="I907" s="17"/>
      <c r="J907" s="17"/>
      <c r="K907" s="17"/>
      <c r="L907" s="14"/>
    </row>
    <row r="908" spans="1:12" ht="21.75" customHeight="1" x14ac:dyDescent="0.15">
      <c r="A908" s="14"/>
      <c r="B908" s="16"/>
      <c r="C908" s="17"/>
      <c r="D908" s="17"/>
      <c r="E908" s="17"/>
      <c r="F908" s="17"/>
      <c r="G908" s="17"/>
      <c r="H908" s="18" t="s">
        <v>70</v>
      </c>
      <c r="I908" s="17"/>
      <c r="J908" s="17"/>
      <c r="K908" s="17"/>
      <c r="L908" s="14"/>
    </row>
    <row r="909" spans="1:12" ht="21.75" customHeight="1" x14ac:dyDescent="0.15">
      <c r="A909" s="14"/>
      <c r="B909" s="16"/>
      <c r="C909" s="17"/>
      <c r="D909" s="17"/>
      <c r="E909" s="17"/>
      <c r="F909" s="17"/>
      <c r="G909" s="17"/>
      <c r="H909" s="18" t="s">
        <v>70</v>
      </c>
      <c r="I909" s="17"/>
      <c r="J909" s="17"/>
      <c r="K909" s="17"/>
      <c r="L909" s="14"/>
    </row>
    <row r="910" spans="1:12" ht="21.75" customHeight="1" x14ac:dyDescent="0.15">
      <c r="A910" s="14"/>
      <c r="B910" s="16"/>
      <c r="C910" s="17"/>
      <c r="D910" s="17"/>
      <c r="E910" s="17"/>
      <c r="F910" s="17"/>
      <c r="G910" s="17"/>
      <c r="H910" s="18" t="s">
        <v>70</v>
      </c>
      <c r="I910" s="17"/>
      <c r="J910" s="17"/>
      <c r="K910" s="17"/>
      <c r="L910" s="14"/>
    </row>
    <row r="911" spans="1:12" ht="21.75" customHeight="1" x14ac:dyDescent="0.15">
      <c r="A911" s="14"/>
      <c r="B911" s="16"/>
      <c r="C911" s="17"/>
      <c r="D911" s="17"/>
      <c r="E911" s="17"/>
      <c r="F911" s="17"/>
      <c r="G911" s="17"/>
      <c r="H911" s="18" t="s">
        <v>70</v>
      </c>
      <c r="I911" s="17"/>
      <c r="J911" s="17"/>
      <c r="K911" s="17"/>
      <c r="L911" s="14"/>
    </row>
    <row r="912" spans="1:12" ht="21.75" customHeight="1" x14ac:dyDescent="0.15">
      <c r="A912" s="14"/>
      <c r="B912" s="16"/>
      <c r="C912" s="17"/>
      <c r="D912" s="17"/>
      <c r="E912" s="17"/>
      <c r="F912" s="17"/>
      <c r="G912" s="17"/>
      <c r="H912" s="18" t="s">
        <v>70</v>
      </c>
      <c r="I912" s="17"/>
      <c r="J912" s="17"/>
      <c r="K912" s="17"/>
      <c r="L912" s="14"/>
    </row>
    <row r="913" spans="1:12" ht="21.75" customHeight="1" x14ac:dyDescent="0.15">
      <c r="A913" s="14"/>
      <c r="B913" s="16"/>
      <c r="C913" s="17"/>
      <c r="D913" s="17"/>
      <c r="E913" s="17"/>
      <c r="F913" s="17"/>
      <c r="G913" s="17"/>
      <c r="H913" s="18" t="s">
        <v>70</v>
      </c>
      <c r="I913" s="17"/>
      <c r="J913" s="17"/>
      <c r="K913" s="17"/>
      <c r="L913" s="14"/>
    </row>
    <row r="914" spans="1:12" ht="21.75" customHeight="1" x14ac:dyDescent="0.15">
      <c r="A914" s="14"/>
      <c r="B914" s="16"/>
      <c r="C914" s="17"/>
      <c r="D914" s="17"/>
      <c r="E914" s="17"/>
      <c r="F914" s="17"/>
      <c r="G914" s="17"/>
      <c r="H914" s="18" t="s">
        <v>70</v>
      </c>
      <c r="I914" s="17"/>
      <c r="J914" s="17"/>
      <c r="K914" s="17"/>
      <c r="L914" s="14"/>
    </row>
    <row r="915" spans="1:12" ht="21.75" customHeight="1" x14ac:dyDescent="0.15">
      <c r="A915" s="14"/>
      <c r="B915" s="16"/>
      <c r="C915" s="17"/>
      <c r="D915" s="17"/>
      <c r="E915" s="17"/>
      <c r="F915" s="17"/>
      <c r="G915" s="17"/>
      <c r="H915" s="18" t="s">
        <v>70</v>
      </c>
      <c r="I915" s="17"/>
      <c r="J915" s="17"/>
      <c r="K915" s="17"/>
      <c r="L915" s="14"/>
    </row>
    <row r="916" spans="1:12" ht="21.75" customHeight="1" x14ac:dyDescent="0.15">
      <c r="A916" s="14"/>
      <c r="B916" s="16"/>
      <c r="C916" s="17"/>
      <c r="D916" s="17"/>
      <c r="E916" s="17"/>
      <c r="F916" s="17"/>
      <c r="G916" s="17"/>
      <c r="H916" s="18" t="s">
        <v>70</v>
      </c>
      <c r="I916" s="17"/>
      <c r="J916" s="17"/>
      <c r="K916" s="17"/>
      <c r="L916" s="14"/>
    </row>
    <row r="917" spans="1:12" ht="21.75" customHeight="1" x14ac:dyDescent="0.15">
      <c r="A917" s="14"/>
      <c r="B917" s="16"/>
      <c r="C917" s="17"/>
      <c r="D917" s="17"/>
      <c r="E917" s="17"/>
      <c r="F917" s="17"/>
      <c r="G917" s="17"/>
      <c r="H917" s="18" t="s">
        <v>70</v>
      </c>
      <c r="I917" s="17"/>
      <c r="J917" s="17"/>
      <c r="K917" s="17"/>
      <c r="L917" s="14"/>
    </row>
    <row r="918" spans="1:12" ht="21.75" customHeight="1" x14ac:dyDescent="0.15">
      <c r="A918" s="14"/>
      <c r="B918" s="16"/>
      <c r="C918" s="17"/>
      <c r="D918" s="17"/>
      <c r="E918" s="17"/>
      <c r="F918" s="17"/>
      <c r="G918" s="17"/>
      <c r="H918" s="18" t="s">
        <v>70</v>
      </c>
      <c r="I918" s="17"/>
      <c r="J918" s="17"/>
      <c r="K918" s="17"/>
      <c r="L918" s="14"/>
    </row>
    <row r="919" spans="1:12" ht="21.75" customHeight="1" x14ac:dyDescent="0.15">
      <c r="A919" s="14"/>
      <c r="B919" s="16"/>
      <c r="C919" s="17"/>
      <c r="D919" s="17"/>
      <c r="E919" s="17"/>
      <c r="F919" s="17"/>
      <c r="G919" s="17"/>
      <c r="H919" s="18" t="s">
        <v>70</v>
      </c>
      <c r="I919" s="17"/>
      <c r="J919" s="17"/>
      <c r="K919" s="17"/>
      <c r="L919" s="14"/>
    </row>
    <row r="920" spans="1:12" ht="21.75" customHeight="1" x14ac:dyDescent="0.15">
      <c r="A920" s="14"/>
      <c r="B920" s="16"/>
      <c r="C920" s="17"/>
      <c r="D920" s="17"/>
      <c r="E920" s="17"/>
      <c r="F920" s="17"/>
      <c r="G920" s="17"/>
      <c r="H920" s="18" t="s">
        <v>70</v>
      </c>
      <c r="I920" s="17"/>
      <c r="J920" s="17"/>
      <c r="K920" s="17"/>
      <c r="L920" s="14"/>
    </row>
    <row r="921" spans="1:12" ht="21.75" customHeight="1" x14ac:dyDescent="0.15">
      <c r="A921" s="14"/>
      <c r="B921" s="16"/>
      <c r="C921" s="17"/>
      <c r="D921" s="17"/>
      <c r="E921" s="17"/>
      <c r="F921" s="17"/>
      <c r="G921" s="17"/>
      <c r="H921" s="18" t="s">
        <v>70</v>
      </c>
      <c r="I921" s="17"/>
      <c r="J921" s="17"/>
      <c r="K921" s="17"/>
      <c r="L921" s="14"/>
    </row>
    <row r="922" spans="1:12" ht="21.75" customHeight="1" x14ac:dyDescent="0.15">
      <c r="A922" s="14"/>
      <c r="B922" s="16"/>
      <c r="C922" s="17"/>
      <c r="D922" s="17"/>
      <c r="E922" s="17"/>
      <c r="F922" s="17"/>
      <c r="G922" s="17"/>
      <c r="H922" s="18" t="s">
        <v>70</v>
      </c>
      <c r="I922" s="17"/>
      <c r="J922" s="17"/>
      <c r="K922" s="17"/>
      <c r="L922" s="14"/>
    </row>
    <row r="923" spans="1:12" ht="21.75" customHeight="1" x14ac:dyDescent="0.15">
      <c r="A923" s="14"/>
      <c r="B923" s="16"/>
      <c r="C923" s="17"/>
      <c r="D923" s="17"/>
      <c r="E923" s="17"/>
      <c r="F923" s="17"/>
      <c r="G923" s="17"/>
      <c r="H923" s="18" t="s">
        <v>70</v>
      </c>
      <c r="I923" s="17"/>
      <c r="J923" s="17"/>
      <c r="K923" s="17"/>
      <c r="L923" s="14"/>
    </row>
    <row r="924" spans="1:12" ht="21.75" customHeight="1" x14ac:dyDescent="0.15">
      <c r="A924" s="14"/>
      <c r="B924" s="16"/>
      <c r="C924" s="17"/>
      <c r="D924" s="17"/>
      <c r="E924" s="17"/>
      <c r="F924" s="17"/>
      <c r="G924" s="17"/>
      <c r="H924" s="18" t="s">
        <v>70</v>
      </c>
      <c r="I924" s="17"/>
      <c r="J924" s="17"/>
      <c r="K924" s="17"/>
      <c r="L924" s="14"/>
    </row>
    <row r="925" spans="1:12" ht="21.75" customHeight="1" x14ac:dyDescent="0.15">
      <c r="A925" s="14"/>
      <c r="B925" s="16"/>
      <c r="C925" s="17"/>
      <c r="D925" s="17"/>
      <c r="E925" s="17"/>
      <c r="F925" s="17"/>
      <c r="G925" s="17"/>
      <c r="H925" s="18" t="s">
        <v>70</v>
      </c>
      <c r="I925" s="17"/>
      <c r="J925" s="17"/>
      <c r="K925" s="17"/>
      <c r="L925" s="14"/>
    </row>
    <row r="926" spans="1:12" ht="21.75" customHeight="1" x14ac:dyDescent="0.15">
      <c r="A926" s="14"/>
      <c r="B926" s="16"/>
      <c r="C926" s="17"/>
      <c r="D926" s="17"/>
      <c r="E926" s="17"/>
      <c r="F926" s="17"/>
      <c r="G926" s="17"/>
      <c r="H926" s="18" t="s">
        <v>70</v>
      </c>
      <c r="I926" s="17"/>
      <c r="J926" s="17"/>
      <c r="K926" s="17"/>
      <c r="L926" s="14"/>
    </row>
    <row r="927" spans="1:12" ht="21.75" customHeight="1" x14ac:dyDescent="0.15">
      <c r="A927" s="14"/>
      <c r="B927" s="16"/>
      <c r="C927" s="17"/>
      <c r="D927" s="17"/>
      <c r="E927" s="17"/>
      <c r="F927" s="17"/>
      <c r="G927" s="17"/>
      <c r="H927" s="18" t="s">
        <v>70</v>
      </c>
      <c r="I927" s="17"/>
      <c r="J927" s="17"/>
      <c r="K927" s="17"/>
      <c r="L927" s="14"/>
    </row>
    <row r="928" spans="1:12" ht="21.75" customHeight="1" x14ac:dyDescent="0.15">
      <c r="A928" s="14"/>
      <c r="B928" s="16"/>
      <c r="C928" s="17"/>
      <c r="D928" s="17"/>
      <c r="E928" s="17"/>
      <c r="F928" s="17"/>
      <c r="G928" s="17"/>
      <c r="H928" s="18" t="s">
        <v>70</v>
      </c>
      <c r="I928" s="17"/>
      <c r="J928" s="17"/>
      <c r="K928" s="17"/>
      <c r="L928" s="14"/>
    </row>
    <row r="929" spans="1:12" ht="21.75" customHeight="1" x14ac:dyDescent="0.15">
      <c r="A929" s="14"/>
      <c r="B929" s="16"/>
      <c r="C929" s="17"/>
      <c r="D929" s="17"/>
      <c r="E929" s="17"/>
      <c r="F929" s="17"/>
      <c r="G929" s="17"/>
      <c r="H929" s="18" t="s">
        <v>70</v>
      </c>
      <c r="I929" s="17"/>
      <c r="J929" s="17"/>
      <c r="K929" s="17"/>
      <c r="L929" s="14"/>
    </row>
    <row r="930" spans="1:12" ht="21.75" customHeight="1" x14ac:dyDescent="0.15">
      <c r="A930" s="14"/>
      <c r="B930" s="16"/>
      <c r="C930" s="17"/>
      <c r="D930" s="17"/>
      <c r="E930" s="17"/>
      <c r="F930" s="17"/>
      <c r="G930" s="17"/>
      <c r="H930" s="18" t="s">
        <v>70</v>
      </c>
      <c r="I930" s="17"/>
      <c r="J930" s="17"/>
      <c r="K930" s="17"/>
      <c r="L930" s="14"/>
    </row>
    <row r="931" spans="1:12" ht="21.75" customHeight="1" x14ac:dyDescent="0.15">
      <c r="A931" s="14"/>
      <c r="B931" s="16"/>
      <c r="C931" s="17"/>
      <c r="D931" s="17"/>
      <c r="E931" s="17"/>
      <c r="F931" s="17"/>
      <c r="G931" s="17"/>
      <c r="H931" s="18" t="s">
        <v>70</v>
      </c>
      <c r="I931" s="17"/>
      <c r="J931" s="17"/>
      <c r="K931" s="17"/>
      <c r="L931" s="14"/>
    </row>
    <row r="932" spans="1:12" ht="21.75" customHeight="1" x14ac:dyDescent="0.15">
      <c r="A932" s="14"/>
      <c r="B932" s="16"/>
      <c r="C932" s="17"/>
      <c r="D932" s="17"/>
      <c r="E932" s="17"/>
      <c r="F932" s="17"/>
      <c r="G932" s="17"/>
      <c r="H932" s="18" t="s">
        <v>70</v>
      </c>
      <c r="I932" s="17"/>
      <c r="J932" s="17"/>
      <c r="K932" s="17"/>
      <c r="L932" s="14"/>
    </row>
    <row r="933" spans="1:12" ht="21.75" customHeight="1" x14ac:dyDescent="0.15">
      <c r="A933" s="14"/>
      <c r="B933" s="16"/>
      <c r="C933" s="17"/>
      <c r="D933" s="17"/>
      <c r="E933" s="17"/>
      <c r="F933" s="17"/>
      <c r="G933" s="17"/>
      <c r="H933" s="18" t="s">
        <v>70</v>
      </c>
      <c r="I933" s="17"/>
      <c r="J933" s="17"/>
      <c r="K933" s="17"/>
      <c r="L933" s="14"/>
    </row>
    <row r="934" spans="1:12" ht="21.75" customHeight="1" x14ac:dyDescent="0.15">
      <c r="A934" s="14"/>
      <c r="B934" s="16"/>
      <c r="C934" s="17"/>
      <c r="D934" s="17"/>
      <c r="E934" s="17"/>
      <c r="F934" s="17"/>
      <c r="G934" s="17"/>
      <c r="H934" s="18" t="s">
        <v>70</v>
      </c>
      <c r="I934" s="17"/>
      <c r="J934" s="17"/>
      <c r="K934" s="17"/>
      <c r="L934" s="14"/>
    </row>
    <row r="935" spans="1:12" ht="21.75" customHeight="1" x14ac:dyDescent="0.15">
      <c r="A935" s="14"/>
      <c r="B935" s="16"/>
      <c r="C935" s="17"/>
      <c r="D935" s="17"/>
      <c r="E935" s="17"/>
      <c r="F935" s="17"/>
      <c r="G935" s="17"/>
      <c r="H935" s="18" t="s">
        <v>70</v>
      </c>
      <c r="I935" s="17"/>
      <c r="J935" s="17"/>
      <c r="K935" s="17"/>
      <c r="L935" s="14"/>
    </row>
    <row r="936" spans="1:12" ht="21.75" customHeight="1" x14ac:dyDescent="0.15">
      <c r="A936" s="14"/>
      <c r="B936" s="16"/>
      <c r="C936" s="17"/>
      <c r="D936" s="17"/>
      <c r="E936" s="17"/>
      <c r="F936" s="17"/>
      <c r="G936" s="17"/>
      <c r="H936" s="18" t="s">
        <v>70</v>
      </c>
      <c r="I936" s="17"/>
      <c r="J936" s="17"/>
      <c r="K936" s="17"/>
      <c r="L936" s="14"/>
    </row>
    <row r="937" spans="1:12" ht="21.75" customHeight="1" x14ac:dyDescent="0.15">
      <c r="A937" s="14"/>
      <c r="B937" s="16"/>
      <c r="C937" s="17"/>
      <c r="D937" s="17"/>
      <c r="E937" s="17"/>
      <c r="F937" s="17"/>
      <c r="G937" s="17"/>
      <c r="H937" s="18" t="s">
        <v>70</v>
      </c>
      <c r="I937" s="17"/>
      <c r="J937" s="17"/>
      <c r="K937" s="17"/>
      <c r="L937" s="14"/>
    </row>
    <row r="938" spans="1:12" ht="21.75" customHeight="1" x14ac:dyDescent="0.15">
      <c r="A938" s="14"/>
      <c r="B938" s="16"/>
      <c r="C938" s="17"/>
      <c r="D938" s="17"/>
      <c r="E938" s="17"/>
      <c r="F938" s="17"/>
      <c r="G938" s="17"/>
      <c r="H938" s="18" t="s">
        <v>70</v>
      </c>
      <c r="I938" s="17"/>
      <c r="J938" s="17"/>
      <c r="K938" s="17"/>
      <c r="L938" s="14"/>
    </row>
    <row r="939" spans="1:12" ht="21.75" customHeight="1" x14ac:dyDescent="0.15">
      <c r="A939" s="14"/>
      <c r="B939" s="16"/>
      <c r="C939" s="17"/>
      <c r="D939" s="17"/>
      <c r="E939" s="17"/>
      <c r="F939" s="17"/>
      <c r="G939" s="17"/>
      <c r="H939" s="18" t="s">
        <v>70</v>
      </c>
      <c r="I939" s="17"/>
      <c r="J939" s="17"/>
      <c r="K939" s="17"/>
      <c r="L939" s="14"/>
    </row>
    <row r="940" spans="1:12" ht="21.75" customHeight="1" x14ac:dyDescent="0.15">
      <c r="A940" s="14"/>
      <c r="B940" s="16"/>
      <c r="C940" s="17"/>
      <c r="D940" s="17"/>
      <c r="E940" s="17"/>
      <c r="F940" s="17"/>
      <c r="G940" s="17"/>
      <c r="H940" s="18" t="s">
        <v>70</v>
      </c>
      <c r="I940" s="17"/>
      <c r="J940" s="17"/>
      <c r="K940" s="17"/>
      <c r="L940" s="14"/>
    </row>
    <row r="941" spans="1:12" ht="21.75" customHeight="1" x14ac:dyDescent="0.15">
      <c r="A941" s="14"/>
      <c r="B941" s="16"/>
      <c r="C941" s="17"/>
      <c r="D941" s="17"/>
      <c r="E941" s="17"/>
      <c r="F941" s="17"/>
      <c r="G941" s="17"/>
      <c r="H941" s="18" t="s">
        <v>70</v>
      </c>
      <c r="I941" s="17"/>
      <c r="J941" s="17"/>
      <c r="K941" s="17"/>
      <c r="L941" s="14"/>
    </row>
    <row r="942" spans="1:12" ht="21.75" customHeight="1" x14ac:dyDescent="0.15">
      <c r="A942" s="14"/>
      <c r="B942" s="16"/>
      <c r="C942" s="17"/>
      <c r="D942" s="17"/>
      <c r="E942" s="17"/>
      <c r="F942" s="17"/>
      <c r="G942" s="17"/>
      <c r="H942" s="18" t="s">
        <v>70</v>
      </c>
      <c r="I942" s="17"/>
      <c r="J942" s="17"/>
      <c r="K942" s="17"/>
      <c r="L942" s="14"/>
    </row>
    <row r="943" spans="1:12" ht="21.75" customHeight="1" x14ac:dyDescent="0.15">
      <c r="A943" s="14"/>
      <c r="B943" s="16"/>
      <c r="C943" s="17"/>
      <c r="D943" s="17"/>
      <c r="E943" s="17"/>
      <c r="F943" s="17"/>
      <c r="G943" s="17"/>
      <c r="H943" s="18" t="s">
        <v>70</v>
      </c>
      <c r="I943" s="17"/>
      <c r="J943" s="17"/>
      <c r="K943" s="17"/>
      <c r="L943" s="14"/>
    </row>
    <row r="944" spans="1:12" ht="21.75" customHeight="1" x14ac:dyDescent="0.15">
      <c r="A944" s="14"/>
      <c r="B944" s="16"/>
      <c r="C944" s="17"/>
      <c r="D944" s="17"/>
      <c r="E944" s="17"/>
      <c r="F944" s="17"/>
      <c r="G944" s="17"/>
      <c r="H944" s="18" t="s">
        <v>70</v>
      </c>
      <c r="I944" s="17"/>
      <c r="J944" s="17"/>
      <c r="K944" s="17"/>
      <c r="L944" s="14"/>
    </row>
    <row r="945" spans="1:12" ht="21.75" customHeight="1" x14ac:dyDescent="0.15">
      <c r="A945" s="14"/>
      <c r="B945" s="16"/>
      <c r="C945" s="17"/>
      <c r="D945" s="17"/>
      <c r="E945" s="17"/>
      <c r="F945" s="17"/>
      <c r="G945" s="17"/>
      <c r="H945" s="18" t="s">
        <v>70</v>
      </c>
      <c r="I945" s="17"/>
      <c r="J945" s="17"/>
      <c r="K945" s="17"/>
      <c r="L945" s="14"/>
    </row>
    <row r="946" spans="1:12" ht="21.75" customHeight="1" x14ac:dyDescent="0.15">
      <c r="A946" s="14"/>
      <c r="B946" s="16"/>
      <c r="C946" s="17"/>
      <c r="D946" s="17"/>
      <c r="E946" s="17"/>
      <c r="F946" s="17"/>
      <c r="G946" s="17"/>
      <c r="H946" s="18" t="s">
        <v>70</v>
      </c>
      <c r="I946" s="17"/>
      <c r="J946" s="17"/>
      <c r="K946" s="17"/>
      <c r="L946" s="14"/>
    </row>
    <row r="947" spans="1:12" ht="21.75" customHeight="1" x14ac:dyDescent="0.15">
      <c r="A947" s="14"/>
      <c r="B947" s="16"/>
      <c r="C947" s="17"/>
      <c r="D947" s="17"/>
      <c r="E947" s="17"/>
      <c r="F947" s="17"/>
      <c r="G947" s="17"/>
      <c r="H947" s="18" t="s">
        <v>70</v>
      </c>
      <c r="I947" s="17"/>
      <c r="J947" s="17"/>
      <c r="K947" s="17"/>
      <c r="L947" s="14"/>
    </row>
    <row r="948" spans="1:12" ht="21.75" customHeight="1" x14ac:dyDescent="0.15">
      <c r="A948" s="14"/>
      <c r="B948" s="16"/>
      <c r="C948" s="17"/>
      <c r="D948" s="17"/>
      <c r="E948" s="17"/>
      <c r="F948" s="17"/>
      <c r="G948" s="17"/>
      <c r="H948" s="18" t="s">
        <v>70</v>
      </c>
      <c r="I948" s="17"/>
      <c r="J948" s="17"/>
      <c r="K948" s="17"/>
      <c r="L948" s="14"/>
    </row>
    <row r="949" spans="1:12" ht="21.75" customHeight="1" x14ac:dyDescent="0.15">
      <c r="A949" s="14"/>
      <c r="B949" s="16"/>
      <c r="C949" s="17"/>
      <c r="D949" s="17"/>
      <c r="E949" s="17"/>
      <c r="F949" s="17"/>
      <c r="G949" s="17"/>
      <c r="H949" s="18" t="s">
        <v>70</v>
      </c>
      <c r="I949" s="17"/>
      <c r="J949" s="17"/>
      <c r="K949" s="17"/>
      <c r="L949" s="14"/>
    </row>
    <row r="950" spans="1:12" ht="21.75" customHeight="1" x14ac:dyDescent="0.15">
      <c r="A950" s="14"/>
      <c r="B950" s="16"/>
      <c r="C950" s="17"/>
      <c r="D950" s="17"/>
      <c r="E950" s="17"/>
      <c r="F950" s="17"/>
      <c r="G950" s="17"/>
      <c r="H950" s="18" t="s">
        <v>70</v>
      </c>
      <c r="I950" s="17"/>
      <c r="J950" s="17"/>
      <c r="K950" s="17"/>
      <c r="L950" s="14"/>
    </row>
    <row r="951" spans="1:12" ht="21.75" customHeight="1" x14ac:dyDescent="0.15">
      <c r="A951" s="14"/>
      <c r="B951" s="16"/>
      <c r="C951" s="17"/>
      <c r="D951" s="17"/>
      <c r="E951" s="17"/>
      <c r="F951" s="17"/>
      <c r="G951" s="17"/>
      <c r="H951" s="18" t="s">
        <v>70</v>
      </c>
      <c r="I951" s="17"/>
      <c r="J951" s="17"/>
      <c r="K951" s="17"/>
      <c r="L951" s="14"/>
    </row>
    <row r="952" spans="1:12" ht="21.75" customHeight="1" x14ac:dyDescent="0.15">
      <c r="A952" s="14"/>
      <c r="B952" s="16"/>
      <c r="C952" s="17"/>
      <c r="D952" s="17"/>
      <c r="E952" s="17"/>
      <c r="F952" s="17"/>
      <c r="G952" s="17"/>
      <c r="H952" s="18" t="s">
        <v>70</v>
      </c>
      <c r="I952" s="17"/>
      <c r="J952" s="17"/>
      <c r="K952" s="17"/>
      <c r="L952" s="14"/>
    </row>
    <row r="953" spans="1:12" ht="21.75" customHeight="1" x14ac:dyDescent="0.15">
      <c r="A953" s="14"/>
      <c r="B953" s="16"/>
      <c r="C953" s="17"/>
      <c r="D953" s="17"/>
      <c r="E953" s="17"/>
      <c r="F953" s="17"/>
      <c r="G953" s="17"/>
      <c r="H953" s="18" t="s">
        <v>70</v>
      </c>
      <c r="I953" s="17"/>
      <c r="J953" s="17"/>
      <c r="K953" s="17"/>
      <c r="L953" s="14"/>
    </row>
    <row r="954" spans="1:12" ht="21.75" customHeight="1" x14ac:dyDescent="0.15">
      <c r="A954" s="14"/>
      <c r="B954" s="16"/>
      <c r="C954" s="17"/>
      <c r="D954" s="17"/>
      <c r="E954" s="17"/>
      <c r="F954" s="17"/>
      <c r="G954" s="17"/>
      <c r="H954" s="18" t="s">
        <v>70</v>
      </c>
      <c r="I954" s="17"/>
      <c r="J954" s="17"/>
      <c r="K954" s="17"/>
      <c r="L954" s="14"/>
    </row>
    <row r="955" spans="1:12" ht="21.75" customHeight="1" x14ac:dyDescent="0.15">
      <c r="A955" s="14"/>
      <c r="B955" s="16"/>
      <c r="C955" s="17"/>
      <c r="D955" s="17"/>
      <c r="E955" s="17"/>
      <c r="F955" s="17"/>
      <c r="G955" s="17"/>
      <c r="H955" s="18" t="s">
        <v>70</v>
      </c>
      <c r="I955" s="17"/>
      <c r="J955" s="17"/>
      <c r="K955" s="17"/>
      <c r="L955" s="14"/>
    </row>
    <row r="956" spans="1:12" ht="21.75" customHeight="1" x14ac:dyDescent="0.15">
      <c r="A956" s="14"/>
      <c r="B956" s="16"/>
      <c r="C956" s="17"/>
      <c r="D956" s="17"/>
      <c r="E956" s="17"/>
      <c r="F956" s="17"/>
      <c r="G956" s="17"/>
      <c r="H956" s="18" t="s">
        <v>70</v>
      </c>
      <c r="I956" s="17"/>
      <c r="J956" s="17"/>
      <c r="K956" s="17"/>
      <c r="L956" s="14"/>
    </row>
    <row r="957" spans="1:12" ht="21.75" customHeight="1" x14ac:dyDescent="0.15">
      <c r="A957" s="14"/>
      <c r="B957" s="16"/>
      <c r="C957" s="17"/>
      <c r="D957" s="17"/>
      <c r="E957" s="17"/>
      <c r="F957" s="17"/>
      <c r="G957" s="17"/>
      <c r="H957" s="18" t="s">
        <v>70</v>
      </c>
      <c r="I957" s="17"/>
      <c r="J957" s="17"/>
      <c r="K957" s="17"/>
      <c r="L957" s="14"/>
    </row>
    <row r="958" spans="1:12" ht="21.75" customHeight="1" x14ac:dyDescent="0.15">
      <c r="A958" s="14"/>
      <c r="B958" s="16"/>
      <c r="C958" s="17"/>
      <c r="D958" s="17"/>
      <c r="E958" s="17"/>
      <c r="F958" s="17"/>
      <c r="G958" s="17"/>
      <c r="H958" s="18" t="s">
        <v>70</v>
      </c>
      <c r="I958" s="17"/>
      <c r="J958" s="17"/>
      <c r="K958" s="17"/>
      <c r="L958" s="14"/>
    </row>
    <row r="959" spans="1:12" ht="21.75" customHeight="1" x14ac:dyDescent="0.15">
      <c r="A959" s="14"/>
      <c r="B959" s="16"/>
      <c r="C959" s="17"/>
      <c r="D959" s="17"/>
      <c r="E959" s="17"/>
      <c r="F959" s="17"/>
      <c r="G959" s="17"/>
      <c r="H959" s="18" t="s">
        <v>70</v>
      </c>
      <c r="I959" s="17"/>
      <c r="J959" s="17"/>
      <c r="K959" s="17"/>
      <c r="L959" s="14"/>
    </row>
    <row r="960" spans="1:12" ht="21.75" customHeight="1" x14ac:dyDescent="0.15">
      <c r="A960" s="14"/>
      <c r="B960" s="16"/>
      <c r="C960" s="17"/>
      <c r="D960" s="17"/>
      <c r="E960" s="17"/>
      <c r="F960" s="17"/>
      <c r="G960" s="17"/>
      <c r="H960" s="18" t="s">
        <v>70</v>
      </c>
      <c r="I960" s="17"/>
      <c r="J960" s="17"/>
      <c r="K960" s="17"/>
      <c r="L960" s="14"/>
    </row>
    <row r="961" spans="1:12" ht="21.75" customHeight="1" x14ac:dyDescent="0.15">
      <c r="A961" s="14"/>
      <c r="B961" s="16"/>
      <c r="C961" s="17"/>
      <c r="D961" s="17"/>
      <c r="E961" s="17"/>
      <c r="F961" s="17"/>
      <c r="G961" s="17"/>
      <c r="H961" s="18" t="s">
        <v>70</v>
      </c>
      <c r="I961" s="17"/>
      <c r="J961" s="17"/>
      <c r="K961" s="17"/>
      <c r="L961" s="14"/>
    </row>
    <row r="962" spans="1:12" ht="21.75" customHeight="1" x14ac:dyDescent="0.15">
      <c r="A962" s="14"/>
      <c r="B962" s="16"/>
      <c r="C962" s="17"/>
      <c r="D962" s="17"/>
      <c r="E962" s="17"/>
      <c r="F962" s="17"/>
      <c r="G962" s="17"/>
      <c r="H962" s="18" t="s">
        <v>70</v>
      </c>
      <c r="I962" s="17"/>
      <c r="J962" s="17"/>
      <c r="K962" s="17"/>
      <c r="L962" s="14"/>
    </row>
    <row r="963" spans="1:12" ht="21.75" customHeight="1" x14ac:dyDescent="0.15">
      <c r="A963" s="14"/>
      <c r="B963" s="16"/>
      <c r="C963" s="17"/>
      <c r="D963" s="17"/>
      <c r="E963" s="17"/>
      <c r="F963" s="17"/>
      <c r="G963" s="17"/>
      <c r="H963" s="18" t="s">
        <v>70</v>
      </c>
      <c r="I963" s="17"/>
      <c r="J963" s="17"/>
      <c r="K963" s="17"/>
      <c r="L963" s="14"/>
    </row>
    <row r="964" spans="1:12" ht="21.75" customHeight="1" x14ac:dyDescent="0.15">
      <c r="A964" s="14"/>
      <c r="B964" s="16"/>
      <c r="C964" s="17"/>
      <c r="D964" s="17"/>
      <c r="E964" s="17"/>
      <c r="F964" s="17"/>
      <c r="G964" s="17"/>
      <c r="H964" s="18" t="s">
        <v>70</v>
      </c>
      <c r="I964" s="17"/>
      <c r="J964" s="17"/>
      <c r="K964" s="17"/>
      <c r="L964" s="14"/>
    </row>
    <row r="965" spans="1:12" ht="21.75" customHeight="1" x14ac:dyDescent="0.15">
      <c r="A965" s="14"/>
      <c r="B965" s="16"/>
      <c r="C965" s="17"/>
      <c r="D965" s="17"/>
      <c r="E965" s="17"/>
      <c r="F965" s="17"/>
      <c r="G965" s="17"/>
      <c r="H965" s="18" t="s">
        <v>70</v>
      </c>
      <c r="I965" s="17"/>
      <c r="J965" s="17"/>
      <c r="K965" s="17"/>
      <c r="L965" s="14"/>
    </row>
    <row r="966" spans="1:12" ht="21.75" customHeight="1" x14ac:dyDescent="0.15">
      <c r="A966" s="14"/>
      <c r="B966" s="16"/>
      <c r="C966" s="17"/>
      <c r="D966" s="17"/>
      <c r="E966" s="17"/>
      <c r="F966" s="17"/>
      <c r="G966" s="17"/>
      <c r="H966" s="18" t="s">
        <v>70</v>
      </c>
      <c r="I966" s="17"/>
      <c r="J966" s="17"/>
      <c r="K966" s="17"/>
      <c r="L966" s="14"/>
    </row>
    <row r="967" spans="1:12" ht="21.75" customHeight="1" x14ac:dyDescent="0.15">
      <c r="A967" s="14"/>
      <c r="B967" s="16"/>
      <c r="C967" s="17"/>
      <c r="D967" s="17"/>
      <c r="E967" s="17"/>
      <c r="F967" s="17"/>
      <c r="G967" s="17"/>
      <c r="H967" s="18" t="s">
        <v>70</v>
      </c>
      <c r="I967" s="17"/>
      <c r="J967" s="17"/>
      <c r="K967" s="17"/>
      <c r="L967" s="14"/>
    </row>
    <row r="968" spans="1:12" ht="21.75" customHeight="1" x14ac:dyDescent="0.15">
      <c r="A968" s="14"/>
      <c r="B968" s="16"/>
      <c r="C968" s="17"/>
      <c r="D968" s="17"/>
      <c r="E968" s="17"/>
      <c r="F968" s="17"/>
      <c r="G968" s="17"/>
      <c r="H968" s="18" t="s">
        <v>70</v>
      </c>
      <c r="I968" s="17"/>
      <c r="J968" s="17"/>
      <c r="K968" s="17"/>
      <c r="L968" s="14"/>
    </row>
    <row r="969" spans="1:12" ht="21.75" customHeight="1" x14ac:dyDescent="0.15">
      <c r="A969" s="14"/>
      <c r="B969" s="16"/>
      <c r="C969" s="17"/>
      <c r="D969" s="17"/>
      <c r="E969" s="17"/>
      <c r="F969" s="17"/>
      <c r="G969" s="17"/>
      <c r="H969" s="18" t="s">
        <v>70</v>
      </c>
      <c r="I969" s="17"/>
      <c r="J969" s="17"/>
      <c r="K969" s="17"/>
      <c r="L969" s="14"/>
    </row>
    <row r="970" spans="1:12" ht="21.75" customHeight="1" x14ac:dyDescent="0.15">
      <c r="A970" s="14"/>
      <c r="B970" s="16"/>
      <c r="C970" s="17"/>
      <c r="D970" s="17"/>
      <c r="E970" s="17"/>
      <c r="F970" s="17"/>
      <c r="G970" s="17"/>
      <c r="H970" s="18" t="s">
        <v>70</v>
      </c>
      <c r="I970" s="17"/>
      <c r="J970" s="17"/>
      <c r="K970" s="17"/>
      <c r="L970" s="14"/>
    </row>
    <row r="971" spans="1:12" ht="21.75" customHeight="1" x14ac:dyDescent="0.15">
      <c r="A971" s="14"/>
      <c r="B971" s="16"/>
      <c r="C971" s="17"/>
      <c r="D971" s="17"/>
      <c r="E971" s="17"/>
      <c r="F971" s="17"/>
      <c r="G971" s="17"/>
      <c r="H971" s="18" t="s">
        <v>70</v>
      </c>
      <c r="I971" s="17"/>
      <c r="J971" s="17"/>
      <c r="K971" s="17"/>
      <c r="L971" s="14"/>
    </row>
    <row r="972" spans="1:12" ht="21.75" customHeight="1" x14ac:dyDescent="0.15">
      <c r="A972" s="14"/>
      <c r="B972" s="16"/>
      <c r="C972" s="17"/>
      <c r="D972" s="17"/>
      <c r="E972" s="17"/>
      <c r="F972" s="17"/>
      <c r="G972" s="17"/>
      <c r="H972" s="18" t="s">
        <v>70</v>
      </c>
      <c r="I972" s="17"/>
      <c r="J972" s="17"/>
      <c r="K972" s="17"/>
      <c r="L972" s="14"/>
    </row>
    <row r="973" spans="1:12" ht="21.75" customHeight="1" x14ac:dyDescent="0.15">
      <c r="A973" s="14"/>
      <c r="B973" s="16"/>
      <c r="C973" s="17"/>
      <c r="D973" s="17"/>
      <c r="E973" s="17"/>
      <c r="F973" s="17"/>
      <c r="G973" s="17"/>
      <c r="H973" s="18" t="s">
        <v>70</v>
      </c>
      <c r="I973" s="17"/>
      <c r="J973" s="17"/>
      <c r="K973" s="17"/>
      <c r="L973" s="14"/>
    </row>
    <row r="974" spans="1:12" ht="21.75" customHeight="1" x14ac:dyDescent="0.15">
      <c r="A974" s="14"/>
      <c r="B974" s="16"/>
      <c r="C974" s="17"/>
      <c r="D974" s="17"/>
      <c r="E974" s="17"/>
      <c r="F974" s="17"/>
      <c r="G974" s="17"/>
      <c r="H974" s="18" t="s">
        <v>70</v>
      </c>
      <c r="I974" s="17"/>
      <c r="J974" s="17"/>
      <c r="K974" s="17"/>
      <c r="L974" s="14"/>
    </row>
    <row r="975" spans="1:12" ht="21.75" customHeight="1" x14ac:dyDescent="0.15">
      <c r="A975" s="14"/>
      <c r="B975" s="16"/>
      <c r="C975" s="17"/>
      <c r="D975" s="17"/>
      <c r="E975" s="17"/>
      <c r="F975" s="17"/>
      <c r="G975" s="17"/>
      <c r="H975" s="18" t="s">
        <v>70</v>
      </c>
      <c r="I975" s="17"/>
      <c r="J975" s="17"/>
      <c r="K975" s="17"/>
      <c r="L975" s="14"/>
    </row>
    <row r="976" spans="1:12" ht="21.75" customHeight="1" x14ac:dyDescent="0.15">
      <c r="A976" s="14"/>
      <c r="B976" s="16"/>
      <c r="C976" s="17"/>
      <c r="D976" s="17"/>
      <c r="E976" s="17"/>
      <c r="F976" s="17"/>
      <c r="G976" s="17"/>
      <c r="H976" s="18" t="s">
        <v>70</v>
      </c>
      <c r="I976" s="17"/>
      <c r="J976" s="17"/>
      <c r="K976" s="17"/>
      <c r="L976" s="14"/>
    </row>
    <row r="977" spans="1:12" ht="21.75" customHeight="1" x14ac:dyDescent="0.15">
      <c r="A977" s="14"/>
      <c r="B977" s="16"/>
      <c r="C977" s="17"/>
      <c r="D977" s="17"/>
      <c r="E977" s="17"/>
      <c r="F977" s="17"/>
      <c r="G977" s="17"/>
      <c r="H977" s="18" t="s">
        <v>70</v>
      </c>
      <c r="I977" s="17"/>
      <c r="J977" s="17"/>
      <c r="K977" s="17"/>
      <c r="L977" s="14"/>
    </row>
    <row r="978" spans="1:12" ht="21.75" customHeight="1" x14ac:dyDescent="0.15">
      <c r="A978" s="14"/>
      <c r="B978" s="16"/>
      <c r="C978" s="17"/>
      <c r="D978" s="17"/>
      <c r="E978" s="17"/>
      <c r="F978" s="17"/>
      <c r="G978" s="17"/>
      <c r="H978" s="18" t="s">
        <v>70</v>
      </c>
      <c r="I978" s="17"/>
      <c r="J978" s="17"/>
      <c r="K978" s="17"/>
      <c r="L978" s="14"/>
    </row>
    <row r="979" spans="1:12" ht="21.75" customHeight="1" x14ac:dyDescent="0.15">
      <c r="A979" s="14"/>
      <c r="B979" s="16"/>
      <c r="C979" s="17"/>
      <c r="D979" s="17"/>
      <c r="E979" s="17"/>
      <c r="F979" s="17"/>
      <c r="G979" s="17"/>
      <c r="H979" s="18" t="s">
        <v>70</v>
      </c>
      <c r="I979" s="17"/>
      <c r="J979" s="17"/>
      <c r="K979" s="17"/>
      <c r="L979" s="14"/>
    </row>
    <row r="980" spans="1:12" ht="21.75" customHeight="1" x14ac:dyDescent="0.15">
      <c r="A980" s="14"/>
      <c r="B980" s="16"/>
      <c r="C980" s="17"/>
      <c r="D980" s="17"/>
      <c r="E980" s="17"/>
      <c r="F980" s="17"/>
      <c r="G980" s="17"/>
      <c r="H980" s="18" t="s">
        <v>70</v>
      </c>
      <c r="I980" s="17"/>
      <c r="J980" s="17"/>
      <c r="K980" s="17"/>
      <c r="L980" s="14"/>
    </row>
    <row r="981" spans="1:12" ht="21.75" customHeight="1" x14ac:dyDescent="0.15">
      <c r="A981" s="14"/>
      <c r="B981" s="16"/>
      <c r="C981" s="17"/>
      <c r="D981" s="17"/>
      <c r="E981" s="17"/>
      <c r="F981" s="17"/>
      <c r="G981" s="17"/>
      <c r="H981" s="18" t="s">
        <v>70</v>
      </c>
      <c r="I981" s="17"/>
      <c r="J981" s="17"/>
      <c r="K981" s="17"/>
      <c r="L981" s="14"/>
    </row>
    <row r="982" spans="1:12" ht="21.75" customHeight="1" x14ac:dyDescent="0.15">
      <c r="A982" s="14"/>
      <c r="B982" s="16"/>
      <c r="C982" s="17"/>
      <c r="D982" s="17"/>
      <c r="E982" s="17"/>
      <c r="F982" s="17"/>
      <c r="G982" s="17"/>
      <c r="H982" s="18" t="s">
        <v>70</v>
      </c>
      <c r="I982" s="17"/>
      <c r="J982" s="17"/>
      <c r="K982" s="17"/>
      <c r="L982" s="14"/>
    </row>
    <row r="983" spans="1:12" ht="21.75" customHeight="1" x14ac:dyDescent="0.15">
      <c r="A983" s="14"/>
      <c r="B983" s="16"/>
      <c r="C983" s="17"/>
      <c r="D983" s="17"/>
      <c r="E983" s="17"/>
      <c r="F983" s="17"/>
      <c r="G983" s="17"/>
      <c r="H983" s="18" t="s">
        <v>70</v>
      </c>
      <c r="I983" s="17"/>
      <c r="J983" s="17"/>
      <c r="K983" s="17"/>
      <c r="L983" s="14"/>
    </row>
    <row r="984" spans="1:12" ht="21.75" customHeight="1" x14ac:dyDescent="0.15">
      <c r="A984" s="14"/>
      <c r="B984" s="16"/>
      <c r="C984" s="17"/>
      <c r="D984" s="17"/>
      <c r="E984" s="17"/>
      <c r="F984" s="17"/>
      <c r="G984" s="17"/>
      <c r="H984" s="18" t="s">
        <v>70</v>
      </c>
      <c r="I984" s="17"/>
      <c r="J984" s="17"/>
      <c r="K984" s="17"/>
      <c r="L984" s="14"/>
    </row>
    <row r="985" spans="1:12" ht="21.75" customHeight="1" x14ac:dyDescent="0.15">
      <c r="A985" s="14"/>
      <c r="B985" s="16"/>
      <c r="C985" s="17"/>
      <c r="D985" s="17"/>
      <c r="E985" s="17"/>
      <c r="F985" s="17"/>
      <c r="G985" s="17"/>
      <c r="H985" s="18" t="s">
        <v>70</v>
      </c>
      <c r="I985" s="17"/>
      <c r="J985" s="17"/>
      <c r="K985" s="17"/>
      <c r="L985" s="14"/>
    </row>
    <row r="986" spans="1:12" ht="21.75" customHeight="1" x14ac:dyDescent="0.15">
      <c r="A986" s="14"/>
      <c r="B986" s="16"/>
      <c r="C986" s="17"/>
      <c r="D986" s="17"/>
      <c r="E986" s="17"/>
      <c r="F986" s="17"/>
      <c r="G986" s="17"/>
      <c r="H986" s="18" t="s">
        <v>70</v>
      </c>
      <c r="I986" s="17"/>
      <c r="J986" s="17"/>
      <c r="K986" s="17"/>
      <c r="L986" s="14"/>
    </row>
    <row r="987" spans="1:12" ht="21.75" customHeight="1" x14ac:dyDescent="0.15">
      <c r="A987" s="14"/>
      <c r="B987" s="16"/>
      <c r="C987" s="17"/>
      <c r="D987" s="17"/>
      <c r="E987" s="17"/>
      <c r="F987" s="17"/>
      <c r="G987" s="17"/>
      <c r="H987" s="18" t="s">
        <v>70</v>
      </c>
      <c r="I987" s="17"/>
      <c r="J987" s="17"/>
      <c r="K987" s="17"/>
      <c r="L987" s="14"/>
    </row>
    <row r="988" spans="1:12" ht="21.75" customHeight="1" x14ac:dyDescent="0.15">
      <c r="A988" s="14"/>
      <c r="B988" s="16"/>
      <c r="C988" s="17"/>
      <c r="D988" s="17"/>
      <c r="E988" s="17"/>
      <c r="F988" s="17"/>
      <c r="G988" s="17"/>
      <c r="H988" s="18" t="s">
        <v>70</v>
      </c>
      <c r="I988" s="17"/>
      <c r="J988" s="17"/>
      <c r="K988" s="17"/>
      <c r="L988" s="14"/>
    </row>
    <row r="989" spans="1:12" ht="21.75" customHeight="1" x14ac:dyDescent="0.15">
      <c r="A989" s="14"/>
      <c r="B989" s="16"/>
      <c r="C989" s="17"/>
      <c r="D989" s="17"/>
      <c r="E989" s="17"/>
      <c r="F989" s="17"/>
      <c r="G989" s="17"/>
      <c r="H989" s="18" t="s">
        <v>70</v>
      </c>
      <c r="I989" s="17"/>
      <c r="J989" s="17"/>
      <c r="K989" s="17"/>
      <c r="L989" s="14"/>
    </row>
    <row r="990" spans="1:12" ht="21.75" customHeight="1" x14ac:dyDescent="0.15">
      <c r="A990" s="14"/>
      <c r="B990" s="16"/>
      <c r="C990" s="17"/>
      <c r="D990" s="17"/>
      <c r="E990" s="17"/>
      <c r="F990" s="17"/>
      <c r="G990" s="17"/>
      <c r="H990" s="18" t="s">
        <v>70</v>
      </c>
      <c r="I990" s="17"/>
      <c r="J990" s="17"/>
      <c r="K990" s="17"/>
      <c r="L990" s="14"/>
    </row>
    <row r="991" spans="1:12" ht="21.75" customHeight="1" x14ac:dyDescent="0.15">
      <c r="A991" s="14"/>
      <c r="B991" s="16"/>
      <c r="C991" s="17"/>
      <c r="D991" s="17"/>
      <c r="E991" s="17"/>
      <c r="F991" s="17"/>
      <c r="G991" s="17"/>
      <c r="H991" s="18" t="s">
        <v>70</v>
      </c>
      <c r="I991" s="17"/>
      <c r="J991" s="17"/>
      <c r="K991" s="17"/>
      <c r="L991" s="14"/>
    </row>
    <row r="992" spans="1:12" ht="21.75" customHeight="1" x14ac:dyDescent="0.15">
      <c r="A992" s="14"/>
      <c r="B992" s="16"/>
      <c r="C992" s="17"/>
      <c r="D992" s="17"/>
      <c r="E992" s="17"/>
      <c r="F992" s="17"/>
      <c r="G992" s="17"/>
      <c r="H992" s="18" t="s">
        <v>70</v>
      </c>
      <c r="I992" s="17"/>
      <c r="J992" s="17"/>
      <c r="K992" s="17"/>
      <c r="L992" s="14"/>
    </row>
    <row r="993" spans="1:12" ht="21.75" customHeight="1" x14ac:dyDescent="0.15">
      <c r="A993" s="14"/>
      <c r="B993" s="16"/>
      <c r="C993" s="17"/>
      <c r="D993" s="17"/>
      <c r="E993" s="17"/>
      <c r="F993" s="17"/>
      <c r="G993" s="17"/>
      <c r="H993" s="18" t="s">
        <v>70</v>
      </c>
      <c r="I993" s="17"/>
      <c r="J993" s="17"/>
      <c r="K993" s="17"/>
      <c r="L993" s="14"/>
    </row>
    <row r="994" spans="1:12" ht="21.75" customHeight="1" x14ac:dyDescent="0.15">
      <c r="A994" s="14"/>
      <c r="B994" s="16"/>
      <c r="C994" s="17"/>
      <c r="D994" s="17"/>
      <c r="E994" s="17"/>
      <c r="F994" s="17"/>
      <c r="G994" s="17"/>
      <c r="H994" s="18" t="s">
        <v>70</v>
      </c>
      <c r="I994" s="17"/>
      <c r="J994" s="17"/>
      <c r="K994" s="17"/>
      <c r="L994" s="14"/>
    </row>
    <row r="995" spans="1:12" ht="21.75" customHeight="1" x14ac:dyDescent="0.15">
      <c r="A995" s="14"/>
      <c r="B995" s="16"/>
      <c r="C995" s="17"/>
      <c r="D995" s="17"/>
      <c r="E995" s="17"/>
      <c r="F995" s="17"/>
      <c r="G995" s="17"/>
      <c r="H995" s="18" t="s">
        <v>70</v>
      </c>
      <c r="I995" s="17"/>
      <c r="J995" s="17"/>
      <c r="K995" s="17"/>
      <c r="L995" s="14"/>
    </row>
    <row r="996" spans="1:12" ht="21.75" customHeight="1" x14ac:dyDescent="0.15">
      <c r="A996" s="14"/>
      <c r="B996" s="16"/>
      <c r="C996" s="17"/>
      <c r="D996" s="17"/>
      <c r="E996" s="17"/>
      <c r="F996" s="17"/>
      <c r="G996" s="17"/>
      <c r="H996" s="18" t="s">
        <v>70</v>
      </c>
      <c r="I996" s="17"/>
      <c r="J996" s="17"/>
      <c r="K996" s="17"/>
      <c r="L996" s="14"/>
    </row>
    <row r="997" spans="1:12" ht="21.75" customHeight="1" x14ac:dyDescent="0.15">
      <c r="A997" s="14"/>
      <c r="B997" s="16"/>
      <c r="C997" s="17"/>
      <c r="D997" s="17"/>
      <c r="E997" s="17"/>
      <c r="F997" s="17"/>
      <c r="G997" s="17"/>
      <c r="H997" s="18" t="s">
        <v>70</v>
      </c>
      <c r="I997" s="17"/>
      <c r="J997" s="17"/>
      <c r="K997" s="17"/>
      <c r="L997" s="14"/>
    </row>
    <row r="998" spans="1:12" ht="21.75" customHeight="1" x14ac:dyDescent="0.15">
      <c r="A998" s="14"/>
      <c r="B998" s="16"/>
      <c r="C998" s="17"/>
      <c r="D998" s="17"/>
      <c r="E998" s="17"/>
      <c r="F998" s="17"/>
      <c r="G998" s="17"/>
      <c r="H998" s="18" t="s">
        <v>70</v>
      </c>
      <c r="I998" s="17"/>
      <c r="J998" s="17"/>
      <c r="K998" s="17"/>
      <c r="L998" s="14"/>
    </row>
    <row r="999" spans="1:12" ht="21.75" customHeight="1" x14ac:dyDescent="0.15">
      <c r="A999" s="14"/>
      <c r="B999" s="16"/>
      <c r="C999" s="17"/>
      <c r="D999" s="17"/>
      <c r="E999" s="17"/>
      <c r="F999" s="17"/>
      <c r="G999" s="17"/>
      <c r="H999" s="18" t="s">
        <v>70</v>
      </c>
      <c r="I999" s="17"/>
      <c r="J999" s="17"/>
      <c r="K999" s="17"/>
      <c r="L999" s="14"/>
    </row>
    <row r="1000" spans="1:12" ht="21.75" customHeight="1" x14ac:dyDescent="0.15">
      <c r="A1000" s="14"/>
      <c r="B1000" s="16"/>
      <c r="C1000" s="17"/>
      <c r="D1000" s="17"/>
      <c r="E1000" s="17"/>
      <c r="F1000" s="17"/>
      <c r="G1000" s="17"/>
      <c r="H1000" s="18" t="s">
        <v>70</v>
      </c>
      <c r="I1000" s="17"/>
      <c r="J1000" s="17"/>
      <c r="K1000" s="17"/>
      <c r="L1000" s="14"/>
    </row>
  </sheetData>
  <mergeCells count="1">
    <mergeCell ref="B2:K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Setup!$C$4:$C$8</xm:f>
          </x14:formula1>
          <xm:sqref>J4:J1000</xm:sqref>
        </x14:dataValidation>
        <x14:dataValidation type="list" allowBlank="1" showErrorMessage="1" xr:uid="{00000000-0002-0000-0100-000001000000}">
          <x14:formula1>
            <xm:f>Setup!$B$4:$B$8</xm:f>
          </x14:formula1>
          <xm:sqref>I4:I1000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4A774-8B51-5540-9575-82DB2EFB1C80}">
  <dimension ref="A1:V27"/>
  <sheetViews>
    <sheetView tabSelected="1" workbookViewId="0">
      <selection activeCell="N30" sqref="N30"/>
    </sheetView>
  </sheetViews>
  <sheetFormatPr baseColWidth="10" defaultRowHeight="13" x14ac:dyDescent="0.15"/>
  <cols>
    <col min="1" max="1" width="16" customWidth="1"/>
    <col min="2" max="2" width="15.1640625" bestFit="1" customWidth="1"/>
    <col min="3" max="3" width="4.1640625" bestFit="1" customWidth="1"/>
    <col min="4" max="5" width="3.1640625" bestFit="1" customWidth="1"/>
    <col min="6" max="6" width="2.1640625" bestFit="1" customWidth="1"/>
    <col min="7" max="7" width="10.33203125" bestFit="1" customWidth="1"/>
    <col min="8" max="8" width="39.6640625" customWidth="1"/>
    <col min="14" max="14" width="26.1640625" customWidth="1"/>
    <col min="15" max="15" width="16.1640625" customWidth="1"/>
  </cols>
  <sheetData>
    <row r="1" spans="1:22" x14ac:dyDescent="0.15">
      <c r="H1" t="e" cm="1">
        <f t="array" ref="H1">INDEX('Chart Data'!$H$5:$L$10, ROWS('Chart Data'!$H$5:H5), MATCH($E$6, 'Chart Data'!I4:L4, 0))</f>
        <v>#N/A</v>
      </c>
    </row>
    <row r="3" spans="1:22" x14ac:dyDescent="0.15">
      <c r="A3" s="31" t="s">
        <v>1350</v>
      </c>
      <c r="H3" s="31" t="s">
        <v>1349</v>
      </c>
      <c r="Q3" s="31" t="s">
        <v>1348</v>
      </c>
    </row>
    <row r="4" spans="1:22" x14ac:dyDescent="0.15">
      <c r="B4" t="s">
        <v>1327</v>
      </c>
      <c r="C4">
        <v>5</v>
      </c>
      <c r="I4" t="s">
        <v>1334</v>
      </c>
      <c r="J4" t="s">
        <v>1335</v>
      </c>
      <c r="K4" t="s">
        <v>1336</v>
      </c>
      <c r="L4" t="s">
        <v>1337</v>
      </c>
      <c r="N4" s="31" t="s">
        <v>1360</v>
      </c>
      <c r="O4" s="31" t="s">
        <v>1361</v>
      </c>
      <c r="R4" t="s">
        <v>1344</v>
      </c>
      <c r="S4" t="s">
        <v>1334</v>
      </c>
      <c r="T4" t="s">
        <v>1335</v>
      </c>
      <c r="U4" t="s">
        <v>1336</v>
      </c>
      <c r="V4" t="s">
        <v>1337</v>
      </c>
    </row>
    <row r="5" spans="1:22" x14ac:dyDescent="0.15">
      <c r="A5" t="s">
        <v>1332</v>
      </c>
      <c r="B5" s="30">
        <v>0.57281553398058249</v>
      </c>
      <c r="C5">
        <v>4</v>
      </c>
      <c r="H5" t="s">
        <v>1338</v>
      </c>
      <c r="I5" s="30">
        <v>0.70238095238095233</v>
      </c>
      <c r="J5" s="30">
        <v>0.62068965517241381</v>
      </c>
      <c r="K5" s="30">
        <v>0.63636363636363635</v>
      </c>
      <c r="L5" s="30">
        <v>0.48275862068965519</v>
      </c>
      <c r="N5" t="str">
        <f>H5</f>
        <v>Reasonableness of hold time*</v>
      </c>
      <c r="O5" s="37" cm="1">
        <f t="array" ref="O5">--INDEX($I$5:$L$10, ROWS($H$5:H5), MATCH(Dashboard!$E$6, $I$4:$L$4, 0))</f>
        <v>0.63636363636363635</v>
      </c>
      <c r="Q5" t="s">
        <v>1345</v>
      </c>
      <c r="R5" s="30">
        <v>0.93532338308457708</v>
      </c>
      <c r="S5" s="30">
        <v>0.90099009900990101</v>
      </c>
      <c r="T5" s="30">
        <v>0.92380952380952386</v>
      </c>
      <c r="U5" s="30">
        <v>0.94059405940594054</v>
      </c>
      <c r="V5" s="30">
        <v>0.81372549019607843</v>
      </c>
    </row>
    <row r="6" spans="1:22" x14ac:dyDescent="0.15">
      <c r="A6" t="s">
        <v>1331</v>
      </c>
      <c r="B6" s="30">
        <v>0.1359223300970874</v>
      </c>
      <c r="C6">
        <v>3</v>
      </c>
      <c r="H6" t="s">
        <v>1339</v>
      </c>
      <c r="I6" s="30">
        <v>0.59512195121951217</v>
      </c>
      <c r="J6" s="30">
        <v>0.580952380952381</v>
      </c>
      <c r="K6" s="30">
        <v>0.69607843137254899</v>
      </c>
      <c r="L6" s="30">
        <v>0.53398058252427183</v>
      </c>
      <c r="N6" t="str">
        <f t="shared" ref="N6:N10" si="0">H6</f>
        <v>Overall communication</v>
      </c>
      <c r="O6" s="37" cm="1">
        <f t="array" ref="O6">--INDEX($I$5:$L$10, ROWS($H$5:H6), MATCH(Dashboard!$E$6, $I$4:$L$4, 0))</f>
        <v>0.69607843137254899</v>
      </c>
      <c r="Q6" t="s">
        <v>1346</v>
      </c>
      <c r="R6" s="30">
        <v>0.93532338308457708</v>
      </c>
      <c r="S6" s="30">
        <v>0.90099009900990101</v>
      </c>
      <c r="T6" s="30">
        <v>0.90476190476190477</v>
      </c>
      <c r="U6" s="30">
        <v>0.93069306930693074</v>
      </c>
      <c r="V6" s="30">
        <v>0.78431372549019607</v>
      </c>
    </row>
    <row r="7" spans="1:22" x14ac:dyDescent="0.15">
      <c r="A7" t="s">
        <v>1330</v>
      </c>
      <c r="B7" s="30">
        <v>8.7378640776699032E-2</v>
      </c>
      <c r="C7">
        <v>2</v>
      </c>
      <c r="H7" t="s">
        <v>301</v>
      </c>
      <c r="I7" s="30">
        <v>0.66829268292682931</v>
      </c>
      <c r="J7" s="30">
        <v>0.64761904761904765</v>
      </c>
      <c r="K7" s="30">
        <v>0.75490196078431371</v>
      </c>
      <c r="L7" s="30">
        <v>0.5436893203883495</v>
      </c>
      <c r="N7" t="str">
        <f t="shared" si="0"/>
        <v>Easy to use</v>
      </c>
      <c r="O7" s="37" cm="1">
        <f t="array" ref="O7">--INDEX($I$5:$L$10, ROWS($H$5:H7), MATCH(Dashboard!$E$6, $I$4:$L$4, 0))</f>
        <v>0.75490196078431371</v>
      </c>
      <c r="Q7" t="s">
        <v>1347</v>
      </c>
      <c r="R7" s="30">
        <v>0.91044776119402981</v>
      </c>
      <c r="S7" s="30">
        <v>0.8910891089108911</v>
      </c>
      <c r="T7" s="30">
        <v>0.81904761904761902</v>
      </c>
      <c r="U7" s="30">
        <v>0.87128712871287128</v>
      </c>
      <c r="V7" s="30">
        <v>0.69607843137254899</v>
      </c>
    </row>
    <row r="8" spans="1:22" x14ac:dyDescent="0.15">
      <c r="A8" t="s">
        <v>1329</v>
      </c>
      <c r="B8" s="30">
        <v>9.7087378640776691E-3</v>
      </c>
      <c r="C8">
        <v>1</v>
      </c>
      <c r="H8" t="s">
        <v>1340</v>
      </c>
      <c r="I8" s="30">
        <v>0.62439024390243902</v>
      </c>
      <c r="J8" s="30">
        <v>0.59047619047619049</v>
      </c>
      <c r="K8" s="30">
        <v>0.69607843137254899</v>
      </c>
      <c r="L8" s="30">
        <v>0.57281553398058249</v>
      </c>
      <c r="N8" t="str">
        <f t="shared" si="0"/>
        <v>Provided necessary information</v>
      </c>
      <c r="O8" s="37" cm="1">
        <f t="array" ref="O8">--INDEX($I$5:$L$10, ROWS($H$5:H8), MATCH(Dashboard!$E$6, $I$4:$L$4, 0))</f>
        <v>0.69607843137254899</v>
      </c>
      <c r="Q8" t="s">
        <v>1351</v>
      </c>
      <c r="R8" s="30">
        <v>0.92537313432835822</v>
      </c>
      <c r="S8" s="30">
        <v>0.88613861386138615</v>
      </c>
      <c r="T8" s="30">
        <v>0.8666666666666667</v>
      </c>
      <c r="U8" s="30">
        <v>0.87128712871287128</v>
      </c>
      <c r="V8" s="30">
        <v>0.68627450980392157</v>
      </c>
    </row>
    <row r="9" spans="1:22" x14ac:dyDescent="0.15">
      <c r="A9" t="s">
        <v>1328</v>
      </c>
      <c r="B9" s="30">
        <v>0.1941747572815534</v>
      </c>
      <c r="H9" t="s">
        <v>1341</v>
      </c>
      <c r="I9" s="30">
        <v>0.65365853658536588</v>
      </c>
      <c r="J9" s="30">
        <v>0.6</v>
      </c>
      <c r="K9" s="30">
        <v>0.75490196078431371</v>
      </c>
      <c r="L9" s="30">
        <v>0.58252427184466016</v>
      </c>
      <c r="N9" t="str">
        <f t="shared" si="0"/>
        <v>Appropriateness of wait time*</v>
      </c>
      <c r="O9" s="37" cm="1">
        <f t="array" ref="O9">--INDEX($I$5:$L$10, ROWS($H$5:H9), MATCH(Dashboard!$E$6, $I$4:$L$4, 0))</f>
        <v>0.75490196078431371</v>
      </c>
      <c r="Q9" t="s">
        <v>1352</v>
      </c>
      <c r="R9" s="30">
        <v>0.87562189054726369</v>
      </c>
      <c r="S9" s="30">
        <v>0.86633663366336633</v>
      </c>
      <c r="T9" s="30">
        <v>0.83809523809523812</v>
      </c>
      <c r="U9" s="30">
        <v>0.87128712871287128</v>
      </c>
      <c r="V9" s="30">
        <v>0.68627450980392157</v>
      </c>
    </row>
    <row r="10" spans="1:22" x14ac:dyDescent="0.15">
      <c r="H10" t="s">
        <v>1342</v>
      </c>
      <c r="I10" s="30">
        <v>0.76068376068376065</v>
      </c>
      <c r="J10" s="30">
        <v>0.69491525423728817</v>
      </c>
      <c r="K10" s="30">
        <v>0.875</v>
      </c>
      <c r="L10" s="30">
        <v>0.59154929577464788</v>
      </c>
      <c r="N10" t="str">
        <f t="shared" si="0"/>
        <v>Usefulness of wait time message</v>
      </c>
      <c r="O10" s="37" cm="1">
        <f t="array" ref="O10">--INDEX($I$5:$L$10, ROWS($H$5:H10), MATCH(Dashboard!$E$6, $I$4:$L$4, 0))</f>
        <v>0.875</v>
      </c>
      <c r="Q10" t="s">
        <v>1353</v>
      </c>
      <c r="R10" s="30">
        <v>0.87064676616915426</v>
      </c>
      <c r="S10" s="30">
        <v>0.86138613861386137</v>
      </c>
      <c r="T10" s="30">
        <v>0.84761904761904761</v>
      </c>
      <c r="U10" s="30">
        <v>0.88118811881188119</v>
      </c>
      <c r="V10" s="30">
        <v>0.6470588235294118</v>
      </c>
    </row>
    <row r="11" spans="1:22" ht="15" x14ac:dyDescent="0.2">
      <c r="Q11" s="32" t="s">
        <v>1354</v>
      </c>
      <c r="R11" s="33">
        <v>0.86</v>
      </c>
      <c r="S11" s="33">
        <v>0.85</v>
      </c>
      <c r="T11" s="33">
        <v>0.82</v>
      </c>
      <c r="U11" s="33">
        <v>0.86</v>
      </c>
      <c r="V11" s="33">
        <v>0.59</v>
      </c>
    </row>
    <row r="12" spans="1:22" ht="15" x14ac:dyDescent="0.2">
      <c r="Q12" s="32" t="s">
        <v>1355</v>
      </c>
      <c r="R12" s="33">
        <v>0.64</v>
      </c>
      <c r="S12" s="33">
        <v>0.68</v>
      </c>
      <c r="T12" s="33">
        <v>0.65</v>
      </c>
      <c r="U12" s="33">
        <v>0.72</v>
      </c>
      <c r="V12" s="33">
        <v>0.56999999999999995</v>
      </c>
    </row>
    <row r="14" spans="1:22" x14ac:dyDescent="0.15">
      <c r="H14" t="str">
        <f>Dashboard!$E$6</f>
        <v>Q2_2025</v>
      </c>
    </row>
    <row r="15" spans="1:22" x14ac:dyDescent="0.15">
      <c r="H15">
        <f>MATCH(Dashboard!$E$6, $I$4:$L$4, 0)</f>
        <v>3</v>
      </c>
    </row>
    <row r="21" spans="1:13" x14ac:dyDescent="0.15">
      <c r="A21" s="31" t="s">
        <v>1365</v>
      </c>
    </row>
    <row r="22" spans="1:13" x14ac:dyDescent="0.15">
      <c r="B22" t="s">
        <v>1354</v>
      </c>
      <c r="I22" t="s">
        <v>1344</v>
      </c>
      <c r="J22" t="s">
        <v>1334</v>
      </c>
      <c r="K22" t="s">
        <v>1335</v>
      </c>
      <c r="L22" t="s">
        <v>1336</v>
      </c>
      <c r="M22" t="s">
        <v>1337</v>
      </c>
    </row>
    <row r="23" spans="1:13" x14ac:dyDescent="0.15">
      <c r="A23" t="s">
        <v>1344</v>
      </c>
      <c r="B23" s="30">
        <v>0.85922330097087374</v>
      </c>
      <c r="H23" t="s">
        <v>1354</v>
      </c>
      <c r="I23" s="30">
        <v>0.85922330097087374</v>
      </c>
      <c r="J23" s="30">
        <v>0.84878048780487803</v>
      </c>
      <c r="K23" s="30">
        <v>0.81904761904761902</v>
      </c>
      <c r="L23" s="30">
        <v>0.86274509803921573</v>
      </c>
      <c r="M23" s="30">
        <v>0.59223300970873782</v>
      </c>
    </row>
    <row r="24" spans="1:13" x14ac:dyDescent="0.15">
      <c r="A24" t="s">
        <v>1334</v>
      </c>
      <c r="B24" s="30">
        <v>0.84878048780487803</v>
      </c>
    </row>
    <row r="25" spans="1:13" x14ac:dyDescent="0.15">
      <c r="A25" t="s">
        <v>1335</v>
      </c>
      <c r="B25" s="30">
        <v>0.81904761904761902</v>
      </c>
    </row>
    <row r="26" spans="1:13" x14ac:dyDescent="0.15">
      <c r="A26" t="s">
        <v>1336</v>
      </c>
      <c r="B26" s="30">
        <v>0.86274509803921573</v>
      </c>
    </row>
    <row r="27" spans="1:13" x14ac:dyDescent="0.15">
      <c r="A27" t="s">
        <v>1337</v>
      </c>
      <c r="B27" s="30">
        <v>0.59223300970873782</v>
      </c>
    </row>
  </sheetData>
  <sortState xmlns:xlrd2="http://schemas.microsoft.com/office/spreadsheetml/2017/richdata2" ref="A4:C8">
    <sortCondition descending="1" ref="C4:C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51E3F-F56A-9941-874F-163A7E183B7C}">
  <dimension ref="A1:FI104"/>
  <sheetViews>
    <sheetView workbookViewId="0">
      <selection activeCell="H9" sqref="H9"/>
    </sheetView>
  </sheetViews>
  <sheetFormatPr baseColWidth="10" defaultColWidth="8.83203125" defaultRowHeight="13" x14ac:dyDescent="0.15"/>
  <cols>
    <col min="8" max="8" width="19.1640625" customWidth="1"/>
  </cols>
  <sheetData>
    <row r="1" spans="1:165" x14ac:dyDescent="0.15">
      <c r="A1" t="s">
        <v>72</v>
      </c>
      <c r="B1" t="s">
        <v>73</v>
      </c>
      <c r="C1" t="s">
        <v>74</v>
      </c>
      <c r="D1" t="s">
        <v>75</v>
      </c>
      <c r="E1" t="s">
        <v>76</v>
      </c>
      <c r="F1" t="s">
        <v>77</v>
      </c>
      <c r="G1" t="s">
        <v>78</v>
      </c>
      <c r="H1" t="s">
        <v>79</v>
      </c>
      <c r="I1" t="s">
        <v>80</v>
      </c>
      <c r="J1" t="s">
        <v>81</v>
      </c>
      <c r="K1" t="s">
        <v>82</v>
      </c>
      <c r="L1" t="s">
        <v>83</v>
      </c>
      <c r="M1" t="s">
        <v>84</v>
      </c>
      <c r="N1" t="s">
        <v>85</v>
      </c>
      <c r="O1" t="s">
        <v>86</v>
      </c>
      <c r="P1" t="s">
        <v>87</v>
      </c>
      <c r="Q1" t="s">
        <v>88</v>
      </c>
      <c r="R1" t="s">
        <v>89</v>
      </c>
      <c r="S1" t="s">
        <v>90</v>
      </c>
      <c r="T1" t="s">
        <v>91</v>
      </c>
      <c r="U1" t="s">
        <v>92</v>
      </c>
      <c r="V1" t="s">
        <v>93</v>
      </c>
      <c r="W1" t="s">
        <v>94</v>
      </c>
      <c r="X1" t="s">
        <v>95</v>
      </c>
      <c r="Y1" t="s">
        <v>96</v>
      </c>
      <c r="Z1" t="s">
        <v>97</v>
      </c>
      <c r="AA1" t="s">
        <v>98</v>
      </c>
      <c r="AB1" t="s">
        <v>99</v>
      </c>
      <c r="AC1" t="s">
        <v>100</v>
      </c>
      <c r="AD1" t="s">
        <v>101</v>
      </c>
      <c r="AE1" t="s">
        <v>102</v>
      </c>
      <c r="AF1" t="s">
        <v>103</v>
      </c>
      <c r="AG1" t="s">
        <v>104</v>
      </c>
      <c r="AH1" t="s">
        <v>105</v>
      </c>
      <c r="AI1" t="s">
        <v>106</v>
      </c>
      <c r="AJ1" t="s">
        <v>107</v>
      </c>
      <c r="AK1" t="s">
        <v>108</v>
      </c>
      <c r="AL1" t="s">
        <v>109</v>
      </c>
      <c r="AM1" t="s">
        <v>110</v>
      </c>
      <c r="AN1" t="s">
        <v>111</v>
      </c>
      <c r="AO1" t="s">
        <v>112</v>
      </c>
      <c r="AP1" t="s">
        <v>113</v>
      </c>
      <c r="AQ1" t="s">
        <v>114</v>
      </c>
      <c r="AR1" t="s">
        <v>115</v>
      </c>
      <c r="AS1" t="s">
        <v>116</v>
      </c>
      <c r="AT1" t="s">
        <v>117</v>
      </c>
      <c r="AU1" t="s">
        <v>118</v>
      </c>
      <c r="AV1" t="s">
        <v>119</v>
      </c>
      <c r="AW1" t="s">
        <v>120</v>
      </c>
      <c r="AX1" t="s">
        <v>121</v>
      </c>
      <c r="AY1" t="s">
        <v>122</v>
      </c>
      <c r="AZ1" t="s">
        <v>123</v>
      </c>
      <c r="BA1" t="s">
        <v>124</v>
      </c>
      <c r="BB1" t="s">
        <v>125</v>
      </c>
      <c r="BC1" t="s">
        <v>126</v>
      </c>
      <c r="BD1" t="s">
        <v>127</v>
      </c>
      <c r="BE1" t="s">
        <v>128</v>
      </c>
      <c r="BF1" t="s">
        <v>129</v>
      </c>
      <c r="BG1" t="s">
        <v>130</v>
      </c>
      <c r="BH1" t="s">
        <v>131</v>
      </c>
      <c r="BI1" t="s">
        <v>132</v>
      </c>
      <c r="BJ1" t="s">
        <v>133</v>
      </c>
      <c r="BK1" t="s">
        <v>134</v>
      </c>
      <c r="BL1" t="s">
        <v>135</v>
      </c>
      <c r="BM1" t="s">
        <v>136</v>
      </c>
      <c r="BN1" t="s">
        <v>137</v>
      </c>
      <c r="BO1" t="s">
        <v>138</v>
      </c>
      <c r="BP1" t="s">
        <v>139</v>
      </c>
      <c r="BQ1" t="s">
        <v>140</v>
      </c>
      <c r="BR1" t="s">
        <v>141</v>
      </c>
      <c r="BS1" t="s">
        <v>142</v>
      </c>
      <c r="BT1" t="s">
        <v>143</v>
      </c>
      <c r="BU1" t="s">
        <v>144</v>
      </c>
      <c r="BV1" t="s">
        <v>145</v>
      </c>
      <c r="BW1" t="s">
        <v>146</v>
      </c>
      <c r="BX1" t="s">
        <v>147</v>
      </c>
      <c r="BY1" t="s">
        <v>148</v>
      </c>
      <c r="BZ1" t="s">
        <v>149</v>
      </c>
      <c r="CA1" t="s">
        <v>150</v>
      </c>
      <c r="CB1" t="s">
        <v>151</v>
      </c>
      <c r="CC1" t="s">
        <v>152</v>
      </c>
      <c r="CD1" t="s">
        <v>153</v>
      </c>
      <c r="CE1" t="s">
        <v>154</v>
      </c>
      <c r="CF1" t="s">
        <v>155</v>
      </c>
      <c r="CG1" t="s">
        <v>156</v>
      </c>
      <c r="CH1" t="s">
        <v>157</v>
      </c>
      <c r="CI1" t="s">
        <v>158</v>
      </c>
      <c r="CJ1" t="s">
        <v>159</v>
      </c>
      <c r="CK1" t="s">
        <v>160</v>
      </c>
      <c r="CL1" t="s">
        <v>161</v>
      </c>
      <c r="CM1" t="s">
        <v>162</v>
      </c>
      <c r="CN1" t="s">
        <v>163</v>
      </c>
      <c r="CO1" t="s">
        <v>164</v>
      </c>
      <c r="CP1" t="s">
        <v>165</v>
      </c>
      <c r="CQ1" t="s">
        <v>166</v>
      </c>
      <c r="CR1" t="s">
        <v>167</v>
      </c>
      <c r="CS1" t="s">
        <v>168</v>
      </c>
      <c r="CT1" t="s">
        <v>169</v>
      </c>
      <c r="CU1" t="s">
        <v>170</v>
      </c>
      <c r="CV1" t="s">
        <v>171</v>
      </c>
      <c r="CW1" t="s">
        <v>172</v>
      </c>
      <c r="CX1" t="s">
        <v>173</v>
      </c>
      <c r="CY1" t="s">
        <v>174</v>
      </c>
      <c r="CZ1" t="s">
        <v>175</v>
      </c>
      <c r="DA1" t="s">
        <v>176</v>
      </c>
      <c r="DB1" t="s">
        <v>177</v>
      </c>
      <c r="DC1" t="s">
        <v>178</v>
      </c>
      <c r="DD1" t="s">
        <v>179</v>
      </c>
      <c r="DE1" t="s">
        <v>180</v>
      </c>
      <c r="DF1" t="s">
        <v>181</v>
      </c>
      <c r="DG1" t="s">
        <v>182</v>
      </c>
      <c r="DH1" t="s">
        <v>183</v>
      </c>
      <c r="DI1" t="s">
        <v>184</v>
      </c>
      <c r="DJ1" t="s">
        <v>185</v>
      </c>
      <c r="DK1" t="s">
        <v>186</v>
      </c>
      <c r="DL1" t="s">
        <v>187</v>
      </c>
      <c r="DM1" t="s">
        <v>188</v>
      </c>
      <c r="DN1" t="s">
        <v>189</v>
      </c>
      <c r="DO1" t="s">
        <v>190</v>
      </c>
      <c r="DP1" t="s">
        <v>191</v>
      </c>
      <c r="DQ1" t="s">
        <v>192</v>
      </c>
      <c r="DR1" t="s">
        <v>193</v>
      </c>
      <c r="DS1" t="s">
        <v>194</v>
      </c>
      <c r="DT1" t="s">
        <v>195</v>
      </c>
      <c r="DU1" t="s">
        <v>196</v>
      </c>
      <c r="DV1" t="s">
        <v>197</v>
      </c>
      <c r="DW1" t="s">
        <v>198</v>
      </c>
      <c r="DX1" t="s">
        <v>199</v>
      </c>
      <c r="DY1" t="s">
        <v>200</v>
      </c>
      <c r="DZ1" t="s">
        <v>201</v>
      </c>
      <c r="EA1" t="s">
        <v>202</v>
      </c>
      <c r="EB1" t="s">
        <v>203</v>
      </c>
      <c r="EC1" t="s">
        <v>204</v>
      </c>
      <c r="ED1" t="s">
        <v>205</v>
      </c>
      <c r="EE1" t="s">
        <v>206</v>
      </c>
      <c r="EF1" t="s">
        <v>207</v>
      </c>
      <c r="EG1" t="s">
        <v>208</v>
      </c>
      <c r="EH1" t="s">
        <v>209</v>
      </c>
      <c r="EI1" t="s">
        <v>210</v>
      </c>
      <c r="EJ1" t="s">
        <v>211</v>
      </c>
      <c r="EK1" t="s">
        <v>212</v>
      </c>
      <c r="EL1" t="s">
        <v>213</v>
      </c>
      <c r="EM1" t="s">
        <v>214</v>
      </c>
      <c r="EN1" t="s">
        <v>215</v>
      </c>
      <c r="EO1" t="s">
        <v>216</v>
      </c>
      <c r="EP1" t="s">
        <v>217</v>
      </c>
      <c r="EQ1" t="s">
        <v>218</v>
      </c>
      <c r="ER1" t="s">
        <v>219</v>
      </c>
      <c r="ES1" t="s">
        <v>220</v>
      </c>
      <c r="ET1" t="s">
        <v>221</v>
      </c>
      <c r="EU1" t="s">
        <v>222</v>
      </c>
      <c r="EV1" t="s">
        <v>223</v>
      </c>
      <c r="EW1" t="s">
        <v>224</v>
      </c>
      <c r="EX1" t="s">
        <v>225</v>
      </c>
      <c r="EY1" t="s">
        <v>226</v>
      </c>
      <c r="EZ1" t="s">
        <v>227</v>
      </c>
      <c r="FA1" t="s">
        <v>228</v>
      </c>
      <c r="FB1" t="s">
        <v>229</v>
      </c>
      <c r="FC1" t="s">
        <v>230</v>
      </c>
      <c r="FD1" t="s">
        <v>231</v>
      </c>
      <c r="FE1" t="s">
        <v>232</v>
      </c>
      <c r="FF1" t="s">
        <v>233</v>
      </c>
      <c r="FG1" t="s">
        <v>5</v>
      </c>
      <c r="FH1" t="s">
        <v>234</v>
      </c>
      <c r="FI1" t="s">
        <v>235</v>
      </c>
    </row>
    <row r="2" spans="1:165" x14ac:dyDescent="0.15">
      <c r="A2" s="28">
        <v>17</v>
      </c>
      <c r="B2" s="28">
        <v>1</v>
      </c>
      <c r="C2" s="28">
        <v>2</v>
      </c>
      <c r="D2" s="28">
        <v>1</v>
      </c>
      <c r="E2" s="29" t="e">
        <v>#NULL!</v>
      </c>
      <c r="F2" s="28">
        <v>2</v>
      </c>
      <c r="G2" s="28">
        <v>2</v>
      </c>
      <c r="H2" s="28">
        <v>4</v>
      </c>
      <c r="I2" t="s">
        <v>236</v>
      </c>
      <c r="J2" s="28">
        <v>1</v>
      </c>
      <c r="K2" s="28">
        <v>11</v>
      </c>
      <c r="P2" s="29" t="e">
        <v>#NULL!</v>
      </c>
      <c r="Q2" s="29" t="e">
        <v>#NULL!</v>
      </c>
      <c r="R2" s="29" t="e">
        <v>#NULL!</v>
      </c>
      <c r="S2" s="29" t="e">
        <v>#NULL!</v>
      </c>
      <c r="T2" s="28">
        <v>5</v>
      </c>
      <c r="U2" s="28">
        <v>5</v>
      </c>
      <c r="V2" s="28">
        <v>7</v>
      </c>
      <c r="W2" s="28">
        <v>8</v>
      </c>
      <c r="Y2" s="29" t="e">
        <v>#NULL!</v>
      </c>
      <c r="Z2" s="29" t="e">
        <v>#NULL!</v>
      </c>
      <c r="AA2" s="29" t="e">
        <v>#NULL!</v>
      </c>
      <c r="AB2" s="29" t="e">
        <v>#NULL!</v>
      </c>
      <c r="AD2" s="29" t="e">
        <v>#NULL!</v>
      </c>
      <c r="AE2" s="29" t="e">
        <v>#NULL!</v>
      </c>
      <c r="AF2" s="29" t="e">
        <v>#NULL!</v>
      </c>
      <c r="AG2" s="29" t="e">
        <v>#NULL!</v>
      </c>
      <c r="AI2" s="29" t="e">
        <v>#NULL!</v>
      </c>
      <c r="AJ2" s="29" t="e">
        <v>#NULL!</v>
      </c>
      <c r="AK2" s="29" t="e">
        <v>#NULL!</v>
      </c>
      <c r="AL2" s="29" t="e">
        <v>#NULL!</v>
      </c>
      <c r="AN2" s="29" t="e">
        <v>#NULL!</v>
      </c>
      <c r="AO2" s="29" t="e">
        <v>#NULL!</v>
      </c>
      <c r="AP2" s="29" t="e">
        <v>#NULL!</v>
      </c>
      <c r="AQ2" s="29" t="e">
        <v>#NULL!</v>
      </c>
      <c r="AS2" s="29" t="e">
        <v>#NULL!</v>
      </c>
      <c r="AT2" s="29" t="e">
        <v>#NULL!</v>
      </c>
      <c r="AU2" s="29" t="e">
        <v>#NULL!</v>
      </c>
      <c r="AV2" s="29" t="e">
        <v>#NULL!</v>
      </c>
      <c r="AX2" s="29" t="e">
        <v>#NULL!</v>
      </c>
      <c r="AY2" s="29" t="e">
        <v>#NULL!</v>
      </c>
      <c r="AZ2" s="29" t="e">
        <v>#NULL!</v>
      </c>
      <c r="BA2" s="29" t="e">
        <v>#NULL!</v>
      </c>
      <c r="BC2" s="29" t="e">
        <v>#NULL!</v>
      </c>
      <c r="BD2" s="29" t="e">
        <v>#NULL!</v>
      </c>
      <c r="BE2" s="29" t="e">
        <v>#NULL!</v>
      </c>
      <c r="BF2" s="29" t="e">
        <v>#NULL!</v>
      </c>
      <c r="BG2" t="s">
        <v>237</v>
      </c>
      <c r="BH2" s="28">
        <v>21</v>
      </c>
      <c r="BI2" s="29" t="e">
        <v>#NULL!</v>
      </c>
      <c r="BJ2" s="29" t="e">
        <v>#NULL!</v>
      </c>
      <c r="BK2" s="29" t="e">
        <v>#NULL!</v>
      </c>
      <c r="BL2" s="28">
        <v>2</v>
      </c>
      <c r="BM2" s="28">
        <v>4</v>
      </c>
      <c r="BN2" t="s">
        <v>238</v>
      </c>
      <c r="BO2" s="28">
        <v>1</v>
      </c>
      <c r="BP2" s="29" t="e">
        <v>#NULL!</v>
      </c>
      <c r="BQ2" s="29" t="e">
        <v>#NULL!</v>
      </c>
      <c r="BR2" s="29" t="e">
        <v>#NULL!</v>
      </c>
      <c r="BS2" s="28">
        <v>7</v>
      </c>
      <c r="BT2" t="s">
        <v>239</v>
      </c>
      <c r="BU2" s="28">
        <v>1</v>
      </c>
      <c r="BV2" s="29" t="e">
        <v>#NULL!</v>
      </c>
      <c r="BW2" s="29" t="e">
        <v>#NULL!</v>
      </c>
      <c r="BX2" s="29" t="e">
        <v>#NULL!</v>
      </c>
      <c r="BZ2" s="29" t="e">
        <v>#NULL!</v>
      </c>
      <c r="CA2" s="29" t="e">
        <v>#NULL!</v>
      </c>
      <c r="CB2" s="29" t="e">
        <v>#NULL!</v>
      </c>
      <c r="CC2" s="28">
        <v>3</v>
      </c>
      <c r="CD2" s="29" t="e">
        <v>#NULL!</v>
      </c>
      <c r="CE2" s="28">
        <v>1</v>
      </c>
      <c r="CF2" s="28">
        <v>1</v>
      </c>
      <c r="CG2" s="28">
        <v>1</v>
      </c>
      <c r="CH2" t="s">
        <v>240</v>
      </c>
      <c r="CI2" s="28">
        <v>1</v>
      </c>
      <c r="CJ2" s="29" t="e">
        <v>#NULL!</v>
      </c>
      <c r="CK2" s="29" t="e">
        <v>#NULL!</v>
      </c>
      <c r="CL2" s="28">
        <v>8</v>
      </c>
      <c r="CN2" s="29" t="e">
        <v>#NULL!</v>
      </c>
      <c r="CO2" s="29" t="e">
        <v>#NULL!</v>
      </c>
      <c r="CP2" s="29" t="e">
        <v>#NULL!</v>
      </c>
      <c r="CQ2" s="28">
        <v>1</v>
      </c>
      <c r="CR2" s="28">
        <v>8</v>
      </c>
      <c r="CS2" s="28">
        <v>10</v>
      </c>
      <c r="CT2" s="28">
        <v>10</v>
      </c>
      <c r="CU2" s="28">
        <v>10</v>
      </c>
      <c r="CV2" s="28">
        <v>10</v>
      </c>
      <c r="CW2" s="28">
        <v>10</v>
      </c>
      <c r="CX2" s="28">
        <v>10</v>
      </c>
      <c r="CY2" s="28">
        <v>10</v>
      </c>
      <c r="DA2" s="29" t="e">
        <v>#NULL!</v>
      </c>
      <c r="DB2" s="29" t="e">
        <v>#NULL!</v>
      </c>
      <c r="DC2" s="28">
        <v>9</v>
      </c>
      <c r="DD2" s="29" t="e">
        <v>#NULL!</v>
      </c>
      <c r="DE2" s="29" t="e">
        <v>#NULL!</v>
      </c>
      <c r="DF2" s="29" t="e">
        <v>#NULL!</v>
      </c>
      <c r="DG2" s="29" t="e">
        <v>#NULL!</v>
      </c>
      <c r="DH2" s="29" t="e">
        <v>#NULL!</v>
      </c>
      <c r="DI2" s="29" t="e">
        <v>#NULL!</v>
      </c>
      <c r="DJ2" s="29" t="e">
        <v>#NULL!</v>
      </c>
      <c r="DK2" s="29" t="e">
        <v>#NULL!</v>
      </c>
      <c r="DL2" s="29" t="e">
        <v>#NULL!</v>
      </c>
      <c r="DN2" s="28">
        <v>1</v>
      </c>
      <c r="DP2" s="29" t="e">
        <v>#NULL!</v>
      </c>
      <c r="DQ2" s="29" t="e">
        <v>#NULL!</v>
      </c>
      <c r="DR2" s="29" t="e">
        <v>#NULL!</v>
      </c>
      <c r="DT2" s="29" t="e">
        <v>#NULL!</v>
      </c>
      <c r="DU2" s="29" t="e">
        <v>#NULL!</v>
      </c>
      <c r="DV2" s="29" t="e">
        <v>#NULL!</v>
      </c>
      <c r="DW2" s="28">
        <v>2</v>
      </c>
      <c r="DX2" s="28">
        <v>2</v>
      </c>
      <c r="DZ2" s="29" t="e">
        <v>#NULL!</v>
      </c>
      <c r="EA2" s="29" t="e">
        <v>#NULL!</v>
      </c>
      <c r="EI2" s="29" t="e">
        <v>#NULL!</v>
      </c>
      <c r="EJ2" s="29" t="e">
        <v>#NULL!</v>
      </c>
      <c r="EK2" s="29" t="e">
        <v>#NULL!</v>
      </c>
      <c r="EL2" s="29" t="e">
        <v>#NULL!</v>
      </c>
      <c r="EM2" s="28">
        <v>9</v>
      </c>
      <c r="EN2" s="28">
        <v>6</v>
      </c>
      <c r="EO2" t="s">
        <v>241</v>
      </c>
      <c r="EP2" s="28">
        <v>5</v>
      </c>
      <c r="EQ2" s="28">
        <v>1</v>
      </c>
      <c r="ER2" s="28">
        <v>2</v>
      </c>
      <c r="ES2" s="28">
        <v>78723</v>
      </c>
      <c r="ET2" s="28">
        <v>4</v>
      </c>
      <c r="EU2" s="28">
        <v>3</v>
      </c>
      <c r="EV2" s="28">
        <v>2</v>
      </c>
      <c r="EW2" s="28">
        <v>5</v>
      </c>
      <c r="EX2" s="28">
        <v>3</v>
      </c>
      <c r="EY2" t="s">
        <v>242</v>
      </c>
      <c r="EZ2" t="s">
        <v>243</v>
      </c>
      <c r="FB2" t="s">
        <v>244</v>
      </c>
      <c r="FC2" t="s">
        <v>245</v>
      </c>
      <c r="FD2" s="28">
        <v>0</v>
      </c>
      <c r="FE2" s="29" t="e">
        <v>#NULL!</v>
      </c>
      <c r="FF2" s="28">
        <v>2</v>
      </c>
      <c r="FH2" t="s">
        <v>246</v>
      </c>
      <c r="FI2" t="s">
        <v>247</v>
      </c>
    </row>
    <row r="3" spans="1:165" x14ac:dyDescent="0.15">
      <c r="A3" s="28">
        <v>18</v>
      </c>
      <c r="B3" s="28">
        <v>1</v>
      </c>
      <c r="C3" s="28">
        <v>2</v>
      </c>
      <c r="D3" s="28">
        <v>1</v>
      </c>
      <c r="E3" s="29" t="e">
        <v>#NULL!</v>
      </c>
      <c r="F3" s="28">
        <v>2</v>
      </c>
      <c r="G3" s="28">
        <v>2</v>
      </c>
      <c r="H3" s="28">
        <v>2</v>
      </c>
      <c r="J3" s="28">
        <v>1</v>
      </c>
      <c r="K3" s="28">
        <v>9</v>
      </c>
      <c r="P3" s="29" t="e">
        <v>#NULL!</v>
      </c>
      <c r="Q3" s="29" t="e">
        <v>#NULL!</v>
      </c>
      <c r="R3" s="29" t="e">
        <v>#NULL!</v>
      </c>
      <c r="S3" s="29" t="e">
        <v>#NULL!</v>
      </c>
      <c r="T3" s="28">
        <v>11</v>
      </c>
      <c r="U3" s="28">
        <v>11</v>
      </c>
      <c r="V3" s="28">
        <v>8</v>
      </c>
      <c r="W3" s="28">
        <v>11</v>
      </c>
      <c r="Y3" s="29" t="e">
        <v>#NULL!</v>
      </c>
      <c r="Z3" s="29" t="e">
        <v>#NULL!</v>
      </c>
      <c r="AA3" s="29" t="e">
        <v>#NULL!</v>
      </c>
      <c r="AB3" s="29" t="e">
        <v>#NULL!</v>
      </c>
      <c r="AD3" s="29" t="e">
        <v>#NULL!</v>
      </c>
      <c r="AE3" s="29" t="e">
        <v>#NULL!</v>
      </c>
      <c r="AF3" s="29" t="e">
        <v>#NULL!</v>
      </c>
      <c r="AG3" s="29" t="e">
        <v>#NULL!</v>
      </c>
      <c r="AI3" s="29" t="e">
        <v>#NULL!</v>
      </c>
      <c r="AJ3" s="29" t="e">
        <v>#NULL!</v>
      </c>
      <c r="AK3" s="29" t="e">
        <v>#NULL!</v>
      </c>
      <c r="AL3" s="29" t="e">
        <v>#NULL!</v>
      </c>
      <c r="AN3" s="29" t="e">
        <v>#NULL!</v>
      </c>
      <c r="AO3" s="29" t="e">
        <v>#NULL!</v>
      </c>
      <c r="AP3" s="29" t="e">
        <v>#NULL!</v>
      </c>
      <c r="AQ3" s="29" t="e">
        <v>#NULL!</v>
      </c>
      <c r="AS3" s="29" t="e">
        <v>#NULL!</v>
      </c>
      <c r="AT3" s="29" t="e">
        <v>#NULL!</v>
      </c>
      <c r="AU3" s="29" t="e">
        <v>#NULL!</v>
      </c>
      <c r="AV3" s="29" t="e">
        <v>#NULL!</v>
      </c>
      <c r="AW3" t="s">
        <v>248</v>
      </c>
      <c r="AX3" s="29" t="e">
        <v>#NULL!</v>
      </c>
      <c r="AY3" s="29" t="e">
        <v>#NULL!</v>
      </c>
      <c r="AZ3" s="29" t="e">
        <v>#NULL!</v>
      </c>
      <c r="BA3" s="29" t="e">
        <v>#NULL!</v>
      </c>
      <c r="BC3" s="29" t="e">
        <v>#NULL!</v>
      </c>
      <c r="BD3" s="29" t="e">
        <v>#NULL!</v>
      </c>
      <c r="BE3" s="29" t="e">
        <v>#NULL!</v>
      </c>
      <c r="BF3" s="29" t="e">
        <v>#NULL!</v>
      </c>
      <c r="BH3" s="29" t="e">
        <v>#NULL!</v>
      </c>
      <c r="BI3" s="29" t="e">
        <v>#NULL!</v>
      </c>
      <c r="BJ3" s="29" t="e">
        <v>#NULL!</v>
      </c>
      <c r="BK3" s="29" t="e">
        <v>#NULL!</v>
      </c>
      <c r="BL3" s="28">
        <v>2</v>
      </c>
      <c r="BM3" s="28">
        <v>5</v>
      </c>
      <c r="BN3" t="s">
        <v>249</v>
      </c>
      <c r="BO3" s="28">
        <v>98</v>
      </c>
      <c r="BP3" s="29" t="e">
        <v>#NULL!</v>
      </c>
      <c r="BQ3" s="29" t="e">
        <v>#NULL!</v>
      </c>
      <c r="BR3" s="29" t="e">
        <v>#NULL!</v>
      </c>
      <c r="BS3" s="28">
        <v>11</v>
      </c>
      <c r="BT3" t="s">
        <v>249</v>
      </c>
      <c r="BU3" s="28">
        <v>98</v>
      </c>
      <c r="BV3" s="29" t="e">
        <v>#NULL!</v>
      </c>
      <c r="BW3" s="29" t="e">
        <v>#NULL!</v>
      </c>
      <c r="BX3" s="29" t="e">
        <v>#NULL!</v>
      </c>
      <c r="BZ3" s="29" t="e">
        <v>#NULL!</v>
      </c>
      <c r="CA3" s="29" t="e">
        <v>#NULL!</v>
      </c>
      <c r="CB3" s="29" t="e">
        <v>#NULL!</v>
      </c>
      <c r="CC3" s="28">
        <v>1</v>
      </c>
      <c r="CD3" s="28">
        <v>9</v>
      </c>
      <c r="CE3" s="28">
        <v>2</v>
      </c>
      <c r="CF3" s="29" t="e">
        <v>#NULL!</v>
      </c>
      <c r="CG3" s="29" t="e">
        <v>#NULL!</v>
      </c>
      <c r="CI3" s="29" t="e">
        <v>#NULL!</v>
      </c>
      <c r="CJ3" s="29" t="e">
        <v>#NULL!</v>
      </c>
      <c r="CK3" s="29" t="e">
        <v>#NULL!</v>
      </c>
      <c r="CL3" s="29" t="e">
        <v>#NULL!</v>
      </c>
      <c r="CN3" s="29" t="e">
        <v>#NULL!</v>
      </c>
      <c r="CO3" s="29" t="e">
        <v>#NULL!</v>
      </c>
      <c r="CP3" s="29" t="e">
        <v>#NULL!</v>
      </c>
      <c r="CQ3" s="28">
        <v>2</v>
      </c>
      <c r="CR3" s="29" t="e">
        <v>#NULL!</v>
      </c>
      <c r="CS3" s="28">
        <v>10</v>
      </c>
      <c r="CT3" s="28">
        <v>10</v>
      </c>
      <c r="CU3" s="28">
        <v>10</v>
      </c>
      <c r="CV3" s="28">
        <v>10</v>
      </c>
      <c r="CW3" s="28">
        <v>10</v>
      </c>
      <c r="CX3" s="28">
        <v>10</v>
      </c>
      <c r="CY3" s="28">
        <v>10</v>
      </c>
      <c r="DA3" s="29" t="e">
        <v>#NULL!</v>
      </c>
      <c r="DB3" s="29" t="e">
        <v>#NULL!</v>
      </c>
      <c r="DC3" s="28">
        <v>10</v>
      </c>
      <c r="DD3" s="29" t="e">
        <v>#NULL!</v>
      </c>
      <c r="DE3" s="29" t="e">
        <v>#NULL!</v>
      </c>
      <c r="DF3" s="29" t="e">
        <v>#NULL!</v>
      </c>
      <c r="DG3" s="29" t="e">
        <v>#NULL!</v>
      </c>
      <c r="DH3" s="29" t="e">
        <v>#NULL!</v>
      </c>
      <c r="DI3" s="29" t="e">
        <v>#NULL!</v>
      </c>
      <c r="DJ3" s="29" t="e">
        <v>#NULL!</v>
      </c>
      <c r="DK3" s="29" t="e">
        <v>#NULL!</v>
      </c>
      <c r="DL3" s="29" t="e">
        <v>#NULL!</v>
      </c>
      <c r="DN3" s="28">
        <v>3</v>
      </c>
      <c r="DO3" t="s">
        <v>250</v>
      </c>
      <c r="DP3" s="28">
        <v>97</v>
      </c>
      <c r="DQ3" s="29" t="e">
        <v>#NULL!</v>
      </c>
      <c r="DR3" s="29" t="e">
        <v>#NULL!</v>
      </c>
      <c r="DT3" s="29" t="e">
        <v>#NULL!</v>
      </c>
      <c r="DU3" s="29" t="e">
        <v>#NULL!</v>
      </c>
      <c r="DV3" s="29" t="e">
        <v>#NULL!</v>
      </c>
      <c r="DW3" s="28">
        <v>3</v>
      </c>
      <c r="DX3" s="28">
        <v>2</v>
      </c>
      <c r="DZ3" s="29" t="e">
        <v>#NULL!</v>
      </c>
      <c r="EA3" s="29" t="e">
        <v>#NULL!</v>
      </c>
      <c r="EI3" s="29" t="e">
        <v>#NULL!</v>
      </c>
      <c r="EJ3" s="29" t="e">
        <v>#NULL!</v>
      </c>
      <c r="EK3" s="29" t="e">
        <v>#NULL!</v>
      </c>
      <c r="EL3" s="29" t="e">
        <v>#NULL!</v>
      </c>
      <c r="EM3" s="28">
        <v>6</v>
      </c>
      <c r="EN3" s="28">
        <v>6</v>
      </c>
      <c r="EO3" t="s">
        <v>251</v>
      </c>
      <c r="EP3" s="28">
        <v>6</v>
      </c>
      <c r="EQ3" s="28">
        <v>2</v>
      </c>
      <c r="ER3" s="28">
        <v>1</v>
      </c>
      <c r="ES3" s="28">
        <v>78704</v>
      </c>
      <c r="ET3" s="28">
        <v>5</v>
      </c>
      <c r="EU3" s="28">
        <v>6</v>
      </c>
      <c r="EV3" s="28">
        <v>1</v>
      </c>
      <c r="EW3" s="28">
        <v>5</v>
      </c>
      <c r="EX3" s="28">
        <v>2</v>
      </c>
      <c r="EY3" t="s">
        <v>252</v>
      </c>
      <c r="EZ3" t="s">
        <v>253</v>
      </c>
      <c r="FB3" t="s">
        <v>254</v>
      </c>
      <c r="FC3" t="s">
        <v>255</v>
      </c>
      <c r="FD3" s="28">
        <v>0</v>
      </c>
      <c r="FE3" s="29" t="e">
        <v>#NULL!</v>
      </c>
      <c r="FF3" s="28">
        <v>2</v>
      </c>
      <c r="FH3" t="s">
        <v>256</v>
      </c>
      <c r="FI3" t="s">
        <v>257</v>
      </c>
    </row>
    <row r="4" spans="1:165" x14ac:dyDescent="0.15">
      <c r="A4" s="28">
        <v>25</v>
      </c>
      <c r="B4" s="28">
        <v>1</v>
      </c>
      <c r="C4" s="28">
        <v>2</v>
      </c>
      <c r="D4" s="28">
        <v>1</v>
      </c>
      <c r="E4" s="29" t="e">
        <v>#NULL!</v>
      </c>
      <c r="F4" s="28">
        <v>2</v>
      </c>
      <c r="G4" s="28">
        <v>2</v>
      </c>
      <c r="H4" s="28">
        <v>3</v>
      </c>
      <c r="J4" s="28">
        <v>1</v>
      </c>
      <c r="K4" s="28">
        <v>2</v>
      </c>
      <c r="P4" s="29" t="e">
        <v>#NULL!</v>
      </c>
      <c r="Q4" s="29" t="e">
        <v>#NULL!</v>
      </c>
      <c r="R4" s="29" t="e">
        <v>#NULL!</v>
      </c>
      <c r="S4" s="29" t="e">
        <v>#NULL!</v>
      </c>
      <c r="T4" s="28">
        <v>8</v>
      </c>
      <c r="U4" s="28">
        <v>8</v>
      </c>
      <c r="V4" s="28">
        <v>9</v>
      </c>
      <c r="W4" s="28">
        <v>9</v>
      </c>
      <c r="Y4" s="29" t="e">
        <v>#NULL!</v>
      </c>
      <c r="Z4" s="29" t="e">
        <v>#NULL!</v>
      </c>
      <c r="AA4" s="29" t="e">
        <v>#NULL!</v>
      </c>
      <c r="AB4" s="29" t="e">
        <v>#NULL!</v>
      </c>
      <c r="AC4" t="s">
        <v>258</v>
      </c>
      <c r="AD4" s="28">
        <v>97</v>
      </c>
      <c r="AE4" s="29" t="e">
        <v>#NULL!</v>
      </c>
      <c r="AF4" s="29" t="e">
        <v>#NULL!</v>
      </c>
      <c r="AG4" s="29" t="e">
        <v>#NULL!</v>
      </c>
      <c r="AI4" s="29" t="e">
        <v>#NULL!</v>
      </c>
      <c r="AJ4" s="29" t="e">
        <v>#NULL!</v>
      </c>
      <c r="AK4" s="29" t="e">
        <v>#NULL!</v>
      </c>
      <c r="AL4" s="29" t="e">
        <v>#NULL!</v>
      </c>
      <c r="AM4" t="s">
        <v>258</v>
      </c>
      <c r="AN4" s="28">
        <v>97</v>
      </c>
      <c r="AO4" s="29" t="e">
        <v>#NULL!</v>
      </c>
      <c r="AP4" s="29" t="e">
        <v>#NULL!</v>
      </c>
      <c r="AQ4" s="29" t="e">
        <v>#NULL!</v>
      </c>
      <c r="AS4" s="29" t="e">
        <v>#NULL!</v>
      </c>
      <c r="AT4" s="29" t="e">
        <v>#NULL!</v>
      </c>
      <c r="AU4" s="29" t="e">
        <v>#NULL!</v>
      </c>
      <c r="AV4" s="29" t="e">
        <v>#NULL!</v>
      </c>
      <c r="AW4" t="s">
        <v>259</v>
      </c>
      <c r="AX4" s="28">
        <v>99</v>
      </c>
      <c r="AY4" s="29" t="e">
        <v>#NULL!</v>
      </c>
      <c r="AZ4" s="29" t="e">
        <v>#NULL!</v>
      </c>
      <c r="BA4" s="29" t="e">
        <v>#NULL!</v>
      </c>
      <c r="BC4" s="29" t="e">
        <v>#NULL!</v>
      </c>
      <c r="BD4" s="29" t="e">
        <v>#NULL!</v>
      </c>
      <c r="BE4" s="29" t="e">
        <v>#NULL!</v>
      </c>
      <c r="BF4" s="29" t="e">
        <v>#NULL!</v>
      </c>
      <c r="BG4" t="s">
        <v>258</v>
      </c>
      <c r="BH4" s="28">
        <v>97</v>
      </c>
      <c r="BI4" s="29" t="e">
        <v>#NULL!</v>
      </c>
      <c r="BJ4" s="29" t="e">
        <v>#NULL!</v>
      </c>
      <c r="BK4" s="29" t="e">
        <v>#NULL!</v>
      </c>
      <c r="BL4" s="28">
        <v>2</v>
      </c>
      <c r="BM4" s="28">
        <v>4</v>
      </c>
      <c r="BN4" t="s">
        <v>260</v>
      </c>
      <c r="BO4" s="28">
        <v>99</v>
      </c>
      <c r="BP4" s="29" t="e">
        <v>#NULL!</v>
      </c>
      <c r="BQ4" s="29" t="e">
        <v>#NULL!</v>
      </c>
      <c r="BR4" s="29" t="e">
        <v>#NULL!</v>
      </c>
      <c r="BS4" s="28">
        <v>8</v>
      </c>
      <c r="BT4" t="s">
        <v>261</v>
      </c>
      <c r="BU4" s="28">
        <v>6</v>
      </c>
      <c r="BV4" s="29" t="e">
        <v>#NULL!</v>
      </c>
      <c r="BW4" s="29" t="e">
        <v>#NULL!</v>
      </c>
      <c r="BX4" s="29" t="e">
        <v>#NULL!</v>
      </c>
      <c r="BZ4" s="29" t="e">
        <v>#NULL!</v>
      </c>
      <c r="CA4" s="29" t="e">
        <v>#NULL!</v>
      </c>
      <c r="CB4" s="29" t="e">
        <v>#NULL!</v>
      </c>
      <c r="CC4" s="28">
        <v>2</v>
      </c>
      <c r="CD4" s="29" t="e">
        <v>#NULL!</v>
      </c>
      <c r="CE4" s="28">
        <v>1</v>
      </c>
      <c r="CF4" s="28">
        <v>1</v>
      </c>
      <c r="CG4" s="28">
        <v>2</v>
      </c>
      <c r="CH4" t="s">
        <v>262</v>
      </c>
      <c r="CI4" s="28">
        <v>2</v>
      </c>
      <c r="CJ4" s="29" t="e">
        <v>#NULL!</v>
      </c>
      <c r="CK4" s="29" t="e">
        <v>#NULL!</v>
      </c>
      <c r="CL4" s="28">
        <v>5</v>
      </c>
      <c r="CM4" t="s">
        <v>263</v>
      </c>
      <c r="CN4" s="28">
        <v>99</v>
      </c>
      <c r="CO4" s="29" t="e">
        <v>#NULL!</v>
      </c>
      <c r="CP4" s="29" t="e">
        <v>#NULL!</v>
      </c>
      <c r="CQ4" s="28">
        <v>3</v>
      </c>
      <c r="CR4" s="29" t="e">
        <v>#NULL!</v>
      </c>
      <c r="CS4" s="28">
        <v>10</v>
      </c>
      <c r="CT4" s="28">
        <v>6</v>
      </c>
      <c r="CU4" s="28">
        <v>5</v>
      </c>
      <c r="CV4" s="28">
        <v>5</v>
      </c>
      <c r="CW4" s="28">
        <v>6</v>
      </c>
      <c r="CX4" s="28">
        <v>8</v>
      </c>
      <c r="CY4" s="28">
        <v>9</v>
      </c>
      <c r="CZ4" t="s">
        <v>264</v>
      </c>
      <c r="DA4" s="28">
        <v>5</v>
      </c>
      <c r="DB4" s="29" t="e">
        <v>#NULL!</v>
      </c>
      <c r="DC4" s="28">
        <v>3</v>
      </c>
      <c r="DD4" s="28">
        <v>0</v>
      </c>
      <c r="DE4" s="28">
        <v>0</v>
      </c>
      <c r="DF4" s="28">
        <v>0</v>
      </c>
      <c r="DG4" s="28">
        <v>0</v>
      </c>
      <c r="DH4" s="28">
        <v>0</v>
      </c>
      <c r="DI4" s="28">
        <v>1</v>
      </c>
      <c r="DJ4" s="28">
        <v>0</v>
      </c>
      <c r="DK4" s="28">
        <v>0</v>
      </c>
      <c r="DL4" s="28">
        <v>0</v>
      </c>
      <c r="DN4" s="28">
        <v>2</v>
      </c>
      <c r="DO4" t="s">
        <v>265</v>
      </c>
      <c r="DP4" s="28">
        <v>99</v>
      </c>
      <c r="DQ4" s="29" t="e">
        <v>#NULL!</v>
      </c>
      <c r="DR4" s="29" t="e">
        <v>#NULL!</v>
      </c>
      <c r="DT4" s="29" t="e">
        <v>#NULL!</v>
      </c>
      <c r="DU4" s="29" t="e">
        <v>#NULL!</v>
      </c>
      <c r="DV4" s="29" t="e">
        <v>#NULL!</v>
      </c>
      <c r="DW4" s="28">
        <v>1</v>
      </c>
      <c r="DX4" s="28">
        <v>2</v>
      </c>
      <c r="DZ4" s="29" t="e">
        <v>#NULL!</v>
      </c>
      <c r="EA4" s="29" t="e">
        <v>#NULL!</v>
      </c>
      <c r="EI4" s="29" t="e">
        <v>#NULL!</v>
      </c>
      <c r="EJ4" s="29" t="e">
        <v>#NULL!</v>
      </c>
      <c r="EK4" s="29" t="e">
        <v>#NULL!</v>
      </c>
      <c r="EL4" s="29" t="e">
        <v>#NULL!</v>
      </c>
      <c r="EM4" s="28">
        <v>10</v>
      </c>
      <c r="EN4" s="28">
        <v>1</v>
      </c>
      <c r="EP4" s="28">
        <v>5</v>
      </c>
      <c r="EQ4" s="28">
        <v>1</v>
      </c>
      <c r="ER4" s="28">
        <v>2</v>
      </c>
      <c r="ES4" s="28">
        <v>78759</v>
      </c>
      <c r="ET4" s="28">
        <v>2</v>
      </c>
      <c r="EU4" s="28">
        <v>4</v>
      </c>
      <c r="EV4" s="28">
        <v>8</v>
      </c>
      <c r="EW4" s="28">
        <v>5</v>
      </c>
      <c r="EX4" s="28">
        <v>1</v>
      </c>
      <c r="EY4" t="s">
        <v>266</v>
      </c>
      <c r="EZ4" t="s">
        <v>267</v>
      </c>
      <c r="FB4" t="s">
        <v>268</v>
      </c>
      <c r="FC4" t="s">
        <v>269</v>
      </c>
      <c r="FD4" s="28">
        <v>10098</v>
      </c>
      <c r="FE4" s="29" t="e">
        <v>#NULL!</v>
      </c>
      <c r="FF4" s="28">
        <v>2</v>
      </c>
      <c r="FH4" t="s">
        <v>270</v>
      </c>
      <c r="FI4" t="s">
        <v>271</v>
      </c>
    </row>
    <row r="5" spans="1:165" x14ac:dyDescent="0.15">
      <c r="A5" s="28">
        <v>28</v>
      </c>
      <c r="B5" s="28">
        <v>1</v>
      </c>
      <c r="C5" s="28">
        <v>2</v>
      </c>
      <c r="D5" s="28">
        <v>1</v>
      </c>
      <c r="E5" s="29" t="e">
        <v>#NULL!</v>
      </c>
      <c r="F5" s="28">
        <v>2</v>
      </c>
      <c r="G5" s="28">
        <v>2</v>
      </c>
      <c r="H5" s="28">
        <v>2</v>
      </c>
      <c r="J5" s="28">
        <v>1</v>
      </c>
      <c r="K5" s="28">
        <v>2</v>
      </c>
      <c r="P5" s="29" t="e">
        <v>#NULL!</v>
      </c>
      <c r="Q5" s="29" t="e">
        <v>#NULL!</v>
      </c>
      <c r="R5" s="29" t="e">
        <v>#NULL!</v>
      </c>
      <c r="S5" s="29" t="e">
        <v>#NULL!</v>
      </c>
      <c r="T5" s="28">
        <v>8</v>
      </c>
      <c r="U5" s="28">
        <v>8</v>
      </c>
      <c r="V5" s="28">
        <v>8</v>
      </c>
      <c r="W5" s="28">
        <v>7</v>
      </c>
      <c r="Y5" s="29" t="e">
        <v>#NULL!</v>
      </c>
      <c r="Z5" s="29" t="e">
        <v>#NULL!</v>
      </c>
      <c r="AA5" s="29" t="e">
        <v>#NULL!</v>
      </c>
      <c r="AB5" s="29" t="e">
        <v>#NULL!</v>
      </c>
      <c r="AC5" t="s">
        <v>272</v>
      </c>
      <c r="AD5" s="29" t="e">
        <v>#NULL!</v>
      </c>
      <c r="AE5" s="29" t="e">
        <v>#NULL!</v>
      </c>
      <c r="AF5" s="29" t="e">
        <v>#NULL!</v>
      </c>
      <c r="AG5" s="29" t="e">
        <v>#NULL!</v>
      </c>
      <c r="AI5" s="29" t="e">
        <v>#NULL!</v>
      </c>
      <c r="AJ5" s="29" t="e">
        <v>#NULL!</v>
      </c>
      <c r="AK5" s="29" t="e">
        <v>#NULL!</v>
      </c>
      <c r="AL5" s="29" t="e">
        <v>#NULL!</v>
      </c>
      <c r="AM5" t="s">
        <v>272</v>
      </c>
      <c r="AN5" s="29" t="e">
        <v>#NULL!</v>
      </c>
      <c r="AO5" s="29" t="e">
        <v>#NULL!</v>
      </c>
      <c r="AP5" s="29" t="e">
        <v>#NULL!</v>
      </c>
      <c r="AQ5" s="29" t="e">
        <v>#NULL!</v>
      </c>
      <c r="AS5" s="29" t="e">
        <v>#NULL!</v>
      </c>
      <c r="AT5" s="29" t="e">
        <v>#NULL!</v>
      </c>
      <c r="AU5" s="29" t="e">
        <v>#NULL!</v>
      </c>
      <c r="AV5" s="29" t="e">
        <v>#NULL!</v>
      </c>
      <c r="AW5" t="s">
        <v>272</v>
      </c>
      <c r="AX5" s="29" t="e">
        <v>#NULL!</v>
      </c>
      <c r="AY5" s="29" t="e">
        <v>#NULL!</v>
      </c>
      <c r="AZ5" s="29" t="e">
        <v>#NULL!</v>
      </c>
      <c r="BA5" s="29" t="e">
        <v>#NULL!</v>
      </c>
      <c r="BC5" s="29" t="e">
        <v>#NULL!</v>
      </c>
      <c r="BD5" s="29" t="e">
        <v>#NULL!</v>
      </c>
      <c r="BE5" s="29" t="e">
        <v>#NULL!</v>
      </c>
      <c r="BF5" s="29" t="e">
        <v>#NULL!</v>
      </c>
      <c r="BH5" s="29" t="e">
        <v>#NULL!</v>
      </c>
      <c r="BI5" s="29" t="e">
        <v>#NULL!</v>
      </c>
      <c r="BJ5" s="29" t="e">
        <v>#NULL!</v>
      </c>
      <c r="BK5" s="29" t="e">
        <v>#NULL!</v>
      </c>
      <c r="BL5" s="28">
        <v>1</v>
      </c>
      <c r="BM5" s="29" t="e">
        <v>#NULL!</v>
      </c>
      <c r="BO5" s="29" t="e">
        <v>#NULL!</v>
      </c>
      <c r="BP5" s="29" t="e">
        <v>#NULL!</v>
      </c>
      <c r="BQ5" s="29" t="e">
        <v>#NULL!</v>
      </c>
      <c r="BR5" s="29" t="e">
        <v>#NULL!</v>
      </c>
      <c r="BS5" s="29" t="e">
        <v>#NULL!</v>
      </c>
      <c r="BU5" s="29" t="e">
        <v>#NULL!</v>
      </c>
      <c r="BV5" s="29" t="e">
        <v>#NULL!</v>
      </c>
      <c r="BW5" s="29" t="e">
        <v>#NULL!</v>
      </c>
      <c r="BX5" s="29" t="e">
        <v>#NULL!</v>
      </c>
      <c r="BZ5" s="29" t="e">
        <v>#NULL!</v>
      </c>
      <c r="CA5" s="29" t="e">
        <v>#NULL!</v>
      </c>
      <c r="CB5" s="29" t="e">
        <v>#NULL!</v>
      </c>
      <c r="CC5" s="28">
        <v>2</v>
      </c>
      <c r="CD5" s="29" t="e">
        <v>#NULL!</v>
      </c>
      <c r="CE5" s="28">
        <v>2</v>
      </c>
      <c r="CF5" s="29" t="e">
        <v>#NULL!</v>
      </c>
      <c r="CG5" s="29" t="e">
        <v>#NULL!</v>
      </c>
      <c r="CI5" s="29" t="e">
        <v>#NULL!</v>
      </c>
      <c r="CJ5" s="29" t="e">
        <v>#NULL!</v>
      </c>
      <c r="CK5" s="29" t="e">
        <v>#NULL!</v>
      </c>
      <c r="CL5" s="29" t="e">
        <v>#NULL!</v>
      </c>
      <c r="CN5" s="29" t="e">
        <v>#NULL!</v>
      </c>
      <c r="CO5" s="29" t="e">
        <v>#NULL!</v>
      </c>
      <c r="CP5" s="29" t="e">
        <v>#NULL!</v>
      </c>
      <c r="CQ5" s="28">
        <v>2</v>
      </c>
      <c r="CR5" s="29" t="e">
        <v>#NULL!</v>
      </c>
      <c r="CS5" s="28">
        <v>9</v>
      </c>
      <c r="CT5" s="28">
        <v>9</v>
      </c>
      <c r="CU5" s="28">
        <v>9</v>
      </c>
      <c r="CV5" s="28">
        <v>9</v>
      </c>
      <c r="CW5" s="28">
        <v>9</v>
      </c>
      <c r="CX5" s="28">
        <v>9</v>
      </c>
      <c r="CY5" s="28">
        <v>9</v>
      </c>
      <c r="DA5" s="29" t="e">
        <v>#NULL!</v>
      </c>
      <c r="DB5" s="29" t="e">
        <v>#NULL!</v>
      </c>
      <c r="DC5" s="28">
        <v>9</v>
      </c>
      <c r="DD5" s="29" t="e">
        <v>#NULL!</v>
      </c>
      <c r="DE5" s="29" t="e">
        <v>#NULL!</v>
      </c>
      <c r="DF5" s="29" t="e">
        <v>#NULL!</v>
      </c>
      <c r="DG5" s="29" t="e">
        <v>#NULL!</v>
      </c>
      <c r="DH5" s="29" t="e">
        <v>#NULL!</v>
      </c>
      <c r="DI5" s="29" t="e">
        <v>#NULL!</v>
      </c>
      <c r="DJ5" s="29" t="e">
        <v>#NULL!</v>
      </c>
      <c r="DK5" s="29" t="e">
        <v>#NULL!</v>
      </c>
      <c r="DL5" s="29" t="e">
        <v>#NULL!</v>
      </c>
      <c r="DN5" s="28">
        <v>1</v>
      </c>
      <c r="DP5" s="29" t="e">
        <v>#NULL!</v>
      </c>
      <c r="DQ5" s="29" t="e">
        <v>#NULL!</v>
      </c>
      <c r="DR5" s="29" t="e">
        <v>#NULL!</v>
      </c>
      <c r="DT5" s="29" t="e">
        <v>#NULL!</v>
      </c>
      <c r="DU5" s="29" t="e">
        <v>#NULL!</v>
      </c>
      <c r="DV5" s="29" t="e">
        <v>#NULL!</v>
      </c>
      <c r="DW5" s="28">
        <v>3</v>
      </c>
      <c r="DX5" s="28">
        <v>2</v>
      </c>
      <c r="DZ5" s="29" t="e">
        <v>#NULL!</v>
      </c>
      <c r="EA5" s="29" t="e">
        <v>#NULL!</v>
      </c>
      <c r="EI5" s="29" t="e">
        <v>#NULL!</v>
      </c>
      <c r="EJ5" s="29" t="e">
        <v>#NULL!</v>
      </c>
      <c r="EK5" s="29" t="e">
        <v>#NULL!</v>
      </c>
      <c r="EL5" s="29" t="e">
        <v>#NULL!</v>
      </c>
      <c r="EM5" s="28">
        <v>10</v>
      </c>
      <c r="EN5" s="28">
        <v>1</v>
      </c>
      <c r="EP5" s="28">
        <v>5</v>
      </c>
      <c r="EQ5" s="28">
        <v>1</v>
      </c>
      <c r="ER5" s="28">
        <v>2</v>
      </c>
      <c r="ES5" s="28">
        <v>78746</v>
      </c>
      <c r="ET5" s="28">
        <v>2</v>
      </c>
      <c r="EU5" s="28">
        <v>4</v>
      </c>
      <c r="EV5" s="28">
        <v>5</v>
      </c>
      <c r="EW5" s="28">
        <v>5</v>
      </c>
      <c r="EX5" s="28">
        <v>1</v>
      </c>
      <c r="EY5" t="s">
        <v>273</v>
      </c>
      <c r="EZ5" t="s">
        <v>274</v>
      </c>
      <c r="FB5" t="s">
        <v>275</v>
      </c>
      <c r="FC5" t="s">
        <v>276</v>
      </c>
      <c r="FD5" s="29" t="e">
        <v>#NULL!</v>
      </c>
      <c r="FE5" s="29" t="e">
        <v>#NULL!</v>
      </c>
      <c r="FF5" s="28">
        <v>3</v>
      </c>
      <c r="FH5" t="s">
        <v>277</v>
      </c>
      <c r="FI5" t="s">
        <v>278</v>
      </c>
    </row>
    <row r="6" spans="1:165" x14ac:dyDescent="0.15">
      <c r="A6" s="28">
        <v>29</v>
      </c>
      <c r="B6" s="28">
        <v>1</v>
      </c>
      <c r="C6" s="28">
        <v>2</v>
      </c>
      <c r="D6" s="28">
        <v>1</v>
      </c>
      <c r="E6" s="29" t="e">
        <v>#NULL!</v>
      </c>
      <c r="F6" s="28">
        <v>2</v>
      </c>
      <c r="G6" s="28">
        <v>2</v>
      </c>
      <c r="H6" s="28">
        <v>2</v>
      </c>
      <c r="J6" s="28">
        <v>1</v>
      </c>
      <c r="K6" s="28">
        <v>15</v>
      </c>
      <c r="M6" t="s">
        <v>279</v>
      </c>
      <c r="P6" s="29" t="e">
        <v>#NULL!</v>
      </c>
      <c r="Q6" s="29" t="e">
        <v>#NULL!</v>
      </c>
      <c r="R6" s="29" t="e">
        <v>#NULL!</v>
      </c>
      <c r="S6" s="29" t="e">
        <v>#NULL!</v>
      </c>
      <c r="T6" s="28">
        <v>10</v>
      </c>
      <c r="U6" s="28">
        <v>10</v>
      </c>
      <c r="V6" s="28">
        <v>10</v>
      </c>
      <c r="W6" s="28">
        <v>10</v>
      </c>
      <c r="Y6" s="29" t="e">
        <v>#NULL!</v>
      </c>
      <c r="Z6" s="29" t="e">
        <v>#NULL!</v>
      </c>
      <c r="AA6" s="29" t="e">
        <v>#NULL!</v>
      </c>
      <c r="AB6" s="29" t="e">
        <v>#NULL!</v>
      </c>
      <c r="AC6" t="s">
        <v>248</v>
      </c>
      <c r="AD6" s="29" t="e">
        <v>#NULL!</v>
      </c>
      <c r="AE6" s="29" t="e">
        <v>#NULL!</v>
      </c>
      <c r="AF6" s="29" t="e">
        <v>#NULL!</v>
      </c>
      <c r="AG6" s="29" t="e">
        <v>#NULL!</v>
      </c>
      <c r="AI6" s="29" t="e">
        <v>#NULL!</v>
      </c>
      <c r="AJ6" s="29" t="e">
        <v>#NULL!</v>
      </c>
      <c r="AK6" s="29" t="e">
        <v>#NULL!</v>
      </c>
      <c r="AL6" s="29" t="e">
        <v>#NULL!</v>
      </c>
      <c r="AM6" t="s">
        <v>248</v>
      </c>
      <c r="AN6" s="29" t="e">
        <v>#NULL!</v>
      </c>
      <c r="AO6" s="29" t="e">
        <v>#NULL!</v>
      </c>
      <c r="AP6" s="29" t="e">
        <v>#NULL!</v>
      </c>
      <c r="AQ6" s="29" t="e">
        <v>#NULL!</v>
      </c>
      <c r="AS6" s="29" t="e">
        <v>#NULL!</v>
      </c>
      <c r="AT6" s="29" t="e">
        <v>#NULL!</v>
      </c>
      <c r="AU6" s="29" t="e">
        <v>#NULL!</v>
      </c>
      <c r="AV6" s="29" t="e">
        <v>#NULL!</v>
      </c>
      <c r="AW6" t="s">
        <v>248</v>
      </c>
      <c r="AX6" s="29" t="e">
        <v>#NULL!</v>
      </c>
      <c r="AY6" s="29" t="e">
        <v>#NULL!</v>
      </c>
      <c r="AZ6" s="29" t="e">
        <v>#NULL!</v>
      </c>
      <c r="BA6" s="29" t="e">
        <v>#NULL!</v>
      </c>
      <c r="BC6" s="29" t="e">
        <v>#NULL!</v>
      </c>
      <c r="BD6" s="29" t="e">
        <v>#NULL!</v>
      </c>
      <c r="BE6" s="29" t="e">
        <v>#NULL!</v>
      </c>
      <c r="BF6" s="29" t="e">
        <v>#NULL!</v>
      </c>
      <c r="BG6" t="s">
        <v>248</v>
      </c>
      <c r="BH6" s="29" t="e">
        <v>#NULL!</v>
      </c>
      <c r="BI6" s="29" t="e">
        <v>#NULL!</v>
      </c>
      <c r="BJ6" s="29" t="e">
        <v>#NULL!</v>
      </c>
      <c r="BK6" s="29" t="e">
        <v>#NULL!</v>
      </c>
      <c r="BL6" s="28">
        <v>1</v>
      </c>
      <c r="BM6" s="29" t="e">
        <v>#NULL!</v>
      </c>
      <c r="BO6" s="29" t="e">
        <v>#NULL!</v>
      </c>
      <c r="BP6" s="29" t="e">
        <v>#NULL!</v>
      </c>
      <c r="BQ6" s="29" t="e">
        <v>#NULL!</v>
      </c>
      <c r="BR6" s="29" t="e">
        <v>#NULL!</v>
      </c>
      <c r="BS6" s="29" t="e">
        <v>#NULL!</v>
      </c>
      <c r="BU6" s="29" t="e">
        <v>#NULL!</v>
      </c>
      <c r="BV6" s="29" t="e">
        <v>#NULL!</v>
      </c>
      <c r="BW6" s="29" t="e">
        <v>#NULL!</v>
      </c>
      <c r="BX6" s="29" t="e">
        <v>#NULL!</v>
      </c>
      <c r="BZ6" s="29" t="e">
        <v>#NULL!</v>
      </c>
      <c r="CA6" s="29" t="e">
        <v>#NULL!</v>
      </c>
      <c r="CB6" s="29" t="e">
        <v>#NULL!</v>
      </c>
      <c r="CC6" s="28">
        <v>2</v>
      </c>
      <c r="CD6" s="29" t="e">
        <v>#NULL!</v>
      </c>
      <c r="CE6" s="28">
        <v>2</v>
      </c>
      <c r="CF6" s="29" t="e">
        <v>#NULL!</v>
      </c>
      <c r="CG6" s="29" t="e">
        <v>#NULL!</v>
      </c>
      <c r="CI6" s="29" t="e">
        <v>#NULL!</v>
      </c>
      <c r="CJ6" s="29" t="e">
        <v>#NULL!</v>
      </c>
      <c r="CK6" s="29" t="e">
        <v>#NULL!</v>
      </c>
      <c r="CL6" s="29" t="e">
        <v>#NULL!</v>
      </c>
      <c r="CN6" s="29" t="e">
        <v>#NULL!</v>
      </c>
      <c r="CO6" s="29" t="e">
        <v>#NULL!</v>
      </c>
      <c r="CP6" s="29" t="e">
        <v>#NULL!</v>
      </c>
      <c r="CQ6" s="28">
        <v>2</v>
      </c>
      <c r="CR6" s="29" t="e">
        <v>#NULL!</v>
      </c>
      <c r="CS6" s="28">
        <v>10</v>
      </c>
      <c r="CT6" s="28">
        <v>10</v>
      </c>
      <c r="CU6" s="28">
        <v>10</v>
      </c>
      <c r="CV6" s="28">
        <v>10</v>
      </c>
      <c r="CW6" s="28">
        <v>10</v>
      </c>
      <c r="CX6" s="28">
        <v>10</v>
      </c>
      <c r="CY6" s="28">
        <v>10</v>
      </c>
      <c r="DA6" s="29" t="e">
        <v>#NULL!</v>
      </c>
      <c r="DB6" s="29" t="e">
        <v>#NULL!</v>
      </c>
      <c r="DC6" s="28">
        <v>10</v>
      </c>
      <c r="DD6" s="29" t="e">
        <v>#NULL!</v>
      </c>
      <c r="DE6" s="29" t="e">
        <v>#NULL!</v>
      </c>
      <c r="DF6" s="29" t="e">
        <v>#NULL!</v>
      </c>
      <c r="DG6" s="29" t="e">
        <v>#NULL!</v>
      </c>
      <c r="DH6" s="29" t="e">
        <v>#NULL!</v>
      </c>
      <c r="DI6" s="29" t="e">
        <v>#NULL!</v>
      </c>
      <c r="DJ6" s="29" t="e">
        <v>#NULL!</v>
      </c>
      <c r="DK6" s="29" t="e">
        <v>#NULL!</v>
      </c>
      <c r="DL6" s="29" t="e">
        <v>#NULL!</v>
      </c>
      <c r="DN6" s="28">
        <v>1</v>
      </c>
      <c r="DP6" s="29" t="e">
        <v>#NULL!</v>
      </c>
      <c r="DQ6" s="29" t="e">
        <v>#NULL!</v>
      </c>
      <c r="DR6" s="29" t="e">
        <v>#NULL!</v>
      </c>
      <c r="DT6" s="29" t="e">
        <v>#NULL!</v>
      </c>
      <c r="DU6" s="29" t="e">
        <v>#NULL!</v>
      </c>
      <c r="DV6" s="29" t="e">
        <v>#NULL!</v>
      </c>
      <c r="DW6" s="28">
        <v>2</v>
      </c>
      <c r="DX6" s="28">
        <v>1</v>
      </c>
      <c r="DY6" t="s">
        <v>280</v>
      </c>
      <c r="DZ6" s="28">
        <v>99</v>
      </c>
      <c r="EA6" s="29" t="e">
        <v>#NULL!</v>
      </c>
      <c r="EI6" s="29" t="e">
        <v>#NULL!</v>
      </c>
      <c r="EJ6" s="29" t="e">
        <v>#NULL!</v>
      </c>
      <c r="EK6" s="29" t="e">
        <v>#NULL!</v>
      </c>
      <c r="EL6" s="29" t="e">
        <v>#NULL!</v>
      </c>
      <c r="EM6" s="28">
        <v>10</v>
      </c>
      <c r="EN6" s="28">
        <v>6</v>
      </c>
      <c r="EO6" t="s">
        <v>281</v>
      </c>
      <c r="EP6" s="28">
        <v>5</v>
      </c>
      <c r="EQ6" s="28">
        <v>1</v>
      </c>
      <c r="ER6" s="28">
        <v>2</v>
      </c>
      <c r="ES6" s="28">
        <v>78744</v>
      </c>
      <c r="ET6" s="28">
        <v>3</v>
      </c>
      <c r="EU6" s="28">
        <v>4</v>
      </c>
      <c r="EV6" s="28">
        <v>6</v>
      </c>
      <c r="EW6" s="28">
        <v>5</v>
      </c>
      <c r="EX6" s="28">
        <v>1</v>
      </c>
      <c r="EY6" t="s">
        <v>282</v>
      </c>
      <c r="EZ6" t="s">
        <v>283</v>
      </c>
      <c r="FB6" t="s">
        <v>284</v>
      </c>
      <c r="FC6" t="s">
        <v>285</v>
      </c>
      <c r="FD6" s="29" t="e">
        <v>#NULL!</v>
      </c>
      <c r="FE6" s="29" t="e">
        <v>#NULL!</v>
      </c>
      <c r="FF6" s="28">
        <v>2</v>
      </c>
      <c r="FH6" t="s">
        <v>286</v>
      </c>
      <c r="FI6" t="s">
        <v>287</v>
      </c>
    </row>
    <row r="7" spans="1:165" x14ac:dyDescent="0.15">
      <c r="A7" s="28">
        <v>31</v>
      </c>
      <c r="B7" s="28">
        <v>1</v>
      </c>
      <c r="C7" s="28">
        <v>2</v>
      </c>
      <c r="D7" s="28">
        <v>1</v>
      </c>
      <c r="E7" s="29" t="e">
        <v>#NULL!</v>
      </c>
      <c r="F7" s="28">
        <v>2</v>
      </c>
      <c r="G7" s="28">
        <v>2</v>
      </c>
      <c r="H7" s="28">
        <v>2</v>
      </c>
      <c r="J7" s="28">
        <v>1</v>
      </c>
      <c r="K7" s="28">
        <v>3</v>
      </c>
      <c r="P7" s="29" t="e">
        <v>#NULL!</v>
      </c>
      <c r="Q7" s="29" t="e">
        <v>#NULL!</v>
      </c>
      <c r="R7" s="29" t="e">
        <v>#NULL!</v>
      </c>
      <c r="S7" s="29" t="e">
        <v>#NULL!</v>
      </c>
      <c r="T7" s="28">
        <v>10</v>
      </c>
      <c r="U7" s="28">
        <v>10</v>
      </c>
      <c r="V7" s="28">
        <v>10</v>
      </c>
      <c r="W7" s="28">
        <v>10</v>
      </c>
      <c r="Y7" s="29" t="e">
        <v>#NULL!</v>
      </c>
      <c r="Z7" s="29" t="e">
        <v>#NULL!</v>
      </c>
      <c r="AA7" s="29" t="e">
        <v>#NULL!</v>
      </c>
      <c r="AB7" s="29" t="e">
        <v>#NULL!</v>
      </c>
      <c r="AC7" t="s">
        <v>248</v>
      </c>
      <c r="AD7" s="29" t="e">
        <v>#NULL!</v>
      </c>
      <c r="AE7" s="29" t="e">
        <v>#NULL!</v>
      </c>
      <c r="AF7" s="29" t="e">
        <v>#NULL!</v>
      </c>
      <c r="AG7" s="29" t="e">
        <v>#NULL!</v>
      </c>
      <c r="AI7" s="29" t="e">
        <v>#NULL!</v>
      </c>
      <c r="AJ7" s="29" t="e">
        <v>#NULL!</v>
      </c>
      <c r="AK7" s="29" t="e">
        <v>#NULL!</v>
      </c>
      <c r="AL7" s="29" t="e">
        <v>#NULL!</v>
      </c>
      <c r="AM7" t="s">
        <v>248</v>
      </c>
      <c r="AN7" s="29" t="e">
        <v>#NULL!</v>
      </c>
      <c r="AO7" s="29" t="e">
        <v>#NULL!</v>
      </c>
      <c r="AP7" s="29" t="e">
        <v>#NULL!</v>
      </c>
      <c r="AQ7" s="29" t="e">
        <v>#NULL!</v>
      </c>
      <c r="AS7" s="29" t="e">
        <v>#NULL!</v>
      </c>
      <c r="AT7" s="29" t="e">
        <v>#NULL!</v>
      </c>
      <c r="AU7" s="29" t="e">
        <v>#NULL!</v>
      </c>
      <c r="AV7" s="29" t="e">
        <v>#NULL!</v>
      </c>
      <c r="AW7" t="s">
        <v>248</v>
      </c>
      <c r="AX7" s="29" t="e">
        <v>#NULL!</v>
      </c>
      <c r="AY7" s="29" t="e">
        <v>#NULL!</v>
      </c>
      <c r="AZ7" s="29" t="e">
        <v>#NULL!</v>
      </c>
      <c r="BA7" s="29" t="e">
        <v>#NULL!</v>
      </c>
      <c r="BC7" s="29" t="e">
        <v>#NULL!</v>
      </c>
      <c r="BD7" s="29" t="e">
        <v>#NULL!</v>
      </c>
      <c r="BE7" s="29" t="e">
        <v>#NULL!</v>
      </c>
      <c r="BF7" s="29" t="e">
        <v>#NULL!</v>
      </c>
      <c r="BG7" t="s">
        <v>288</v>
      </c>
      <c r="BH7" s="29" t="e">
        <v>#NULL!</v>
      </c>
      <c r="BI7" s="29" t="e">
        <v>#NULL!</v>
      </c>
      <c r="BJ7" s="29" t="e">
        <v>#NULL!</v>
      </c>
      <c r="BK7" s="29" t="e">
        <v>#NULL!</v>
      </c>
      <c r="BL7" s="28">
        <v>2</v>
      </c>
      <c r="BM7" s="28">
        <v>7</v>
      </c>
      <c r="BN7" t="s">
        <v>289</v>
      </c>
      <c r="BO7" s="28">
        <v>98</v>
      </c>
      <c r="BP7" s="29" t="e">
        <v>#NULL!</v>
      </c>
      <c r="BQ7" s="29" t="e">
        <v>#NULL!</v>
      </c>
      <c r="BR7" s="29" t="e">
        <v>#NULL!</v>
      </c>
      <c r="BS7" s="28">
        <v>5</v>
      </c>
      <c r="BT7" t="s">
        <v>290</v>
      </c>
      <c r="BU7" s="28">
        <v>20</v>
      </c>
      <c r="BV7" s="29" t="e">
        <v>#NULL!</v>
      </c>
      <c r="BW7" s="29" t="e">
        <v>#NULL!</v>
      </c>
      <c r="BX7" s="29" t="e">
        <v>#NULL!</v>
      </c>
      <c r="BZ7" s="29" t="e">
        <v>#NULL!</v>
      </c>
      <c r="CA7" s="29" t="e">
        <v>#NULL!</v>
      </c>
      <c r="CB7" s="29" t="e">
        <v>#NULL!</v>
      </c>
      <c r="CC7" s="28">
        <v>2</v>
      </c>
      <c r="CD7" s="29" t="e">
        <v>#NULL!</v>
      </c>
      <c r="CE7" s="28">
        <v>1</v>
      </c>
      <c r="CF7" s="28">
        <v>1</v>
      </c>
      <c r="CG7" s="28">
        <v>1</v>
      </c>
      <c r="CH7" t="s">
        <v>291</v>
      </c>
      <c r="CI7" s="28">
        <v>1</v>
      </c>
      <c r="CJ7" s="29" t="e">
        <v>#NULL!</v>
      </c>
      <c r="CK7" s="29" t="e">
        <v>#NULL!</v>
      </c>
      <c r="CL7" s="28">
        <v>9</v>
      </c>
      <c r="CN7" s="29" t="e">
        <v>#NULL!</v>
      </c>
      <c r="CO7" s="29" t="e">
        <v>#NULL!</v>
      </c>
      <c r="CP7" s="29" t="e">
        <v>#NULL!</v>
      </c>
      <c r="CQ7" s="28">
        <v>2</v>
      </c>
      <c r="CR7" s="29" t="e">
        <v>#NULL!</v>
      </c>
      <c r="CS7" s="28">
        <v>10</v>
      </c>
      <c r="CT7" s="28">
        <v>10</v>
      </c>
      <c r="CU7" s="28">
        <v>10</v>
      </c>
      <c r="CV7" s="28">
        <v>10</v>
      </c>
      <c r="CW7" s="28">
        <v>10</v>
      </c>
      <c r="CX7" s="28">
        <v>10</v>
      </c>
      <c r="CY7" s="28">
        <v>10</v>
      </c>
      <c r="DA7" s="29" t="e">
        <v>#NULL!</v>
      </c>
      <c r="DB7" s="29" t="e">
        <v>#NULL!</v>
      </c>
      <c r="DC7" s="28">
        <v>10</v>
      </c>
      <c r="DD7" s="29" t="e">
        <v>#NULL!</v>
      </c>
      <c r="DE7" s="29" t="e">
        <v>#NULL!</v>
      </c>
      <c r="DF7" s="29" t="e">
        <v>#NULL!</v>
      </c>
      <c r="DG7" s="29" t="e">
        <v>#NULL!</v>
      </c>
      <c r="DH7" s="29" t="e">
        <v>#NULL!</v>
      </c>
      <c r="DI7" s="29" t="e">
        <v>#NULL!</v>
      </c>
      <c r="DJ7" s="29" t="e">
        <v>#NULL!</v>
      </c>
      <c r="DK7" s="29" t="e">
        <v>#NULL!</v>
      </c>
      <c r="DL7" s="29" t="e">
        <v>#NULL!</v>
      </c>
      <c r="DN7" s="28">
        <v>1</v>
      </c>
      <c r="DP7" s="29" t="e">
        <v>#NULL!</v>
      </c>
      <c r="DQ7" s="29" t="e">
        <v>#NULL!</v>
      </c>
      <c r="DR7" s="29" t="e">
        <v>#NULL!</v>
      </c>
      <c r="DT7" s="29" t="e">
        <v>#NULL!</v>
      </c>
      <c r="DU7" s="29" t="e">
        <v>#NULL!</v>
      </c>
      <c r="DV7" s="29" t="e">
        <v>#NULL!</v>
      </c>
      <c r="DW7" s="28">
        <v>5</v>
      </c>
      <c r="DX7" s="28">
        <v>2</v>
      </c>
      <c r="DZ7" s="29" t="e">
        <v>#NULL!</v>
      </c>
      <c r="EA7" s="29" t="e">
        <v>#NULL!</v>
      </c>
      <c r="EI7" s="29" t="e">
        <v>#NULL!</v>
      </c>
      <c r="EJ7" s="29" t="e">
        <v>#NULL!</v>
      </c>
      <c r="EK7" s="29" t="e">
        <v>#NULL!</v>
      </c>
      <c r="EL7" s="29" t="e">
        <v>#NULL!</v>
      </c>
      <c r="EM7" s="28">
        <v>9</v>
      </c>
      <c r="EN7" s="28">
        <v>3</v>
      </c>
      <c r="EP7" s="28">
        <v>1</v>
      </c>
      <c r="EQ7" s="28">
        <v>3</v>
      </c>
      <c r="ER7" s="28">
        <v>2</v>
      </c>
      <c r="ES7" s="28">
        <v>78745</v>
      </c>
      <c r="ET7" s="28">
        <v>2</v>
      </c>
      <c r="EU7" s="28">
        <v>4</v>
      </c>
      <c r="EV7" s="28">
        <v>4</v>
      </c>
      <c r="EW7" s="28">
        <v>5</v>
      </c>
      <c r="EX7" s="28">
        <v>2</v>
      </c>
      <c r="EY7" t="s">
        <v>292</v>
      </c>
      <c r="EZ7" t="s">
        <v>293</v>
      </c>
      <c r="FB7" t="s">
        <v>294</v>
      </c>
      <c r="FC7" t="s">
        <v>295</v>
      </c>
      <c r="FD7" s="29" t="e">
        <v>#NULL!</v>
      </c>
      <c r="FE7" s="29" t="e">
        <v>#NULL!</v>
      </c>
      <c r="FF7" s="28">
        <v>3</v>
      </c>
      <c r="FH7" t="s">
        <v>296</v>
      </c>
      <c r="FI7" t="s">
        <v>297</v>
      </c>
    </row>
    <row r="8" spans="1:165" x14ac:dyDescent="0.15">
      <c r="A8" s="28">
        <v>37</v>
      </c>
      <c r="B8" s="28">
        <v>1</v>
      </c>
      <c r="C8" s="28">
        <v>2</v>
      </c>
      <c r="D8" s="28">
        <v>1</v>
      </c>
      <c r="E8" s="29" t="e">
        <v>#NULL!</v>
      </c>
      <c r="F8" s="28">
        <v>2</v>
      </c>
      <c r="G8" s="28">
        <v>2</v>
      </c>
      <c r="H8" s="28">
        <v>2</v>
      </c>
      <c r="J8" s="28">
        <v>1</v>
      </c>
      <c r="K8" s="28">
        <v>14</v>
      </c>
      <c r="N8" t="s">
        <v>298</v>
      </c>
      <c r="P8" s="29" t="e">
        <v>#NULL!</v>
      </c>
      <c r="Q8" s="29" t="e">
        <v>#NULL!</v>
      </c>
      <c r="R8" s="29" t="e">
        <v>#NULL!</v>
      </c>
      <c r="S8" s="29" t="e">
        <v>#NULL!</v>
      </c>
      <c r="T8" s="28">
        <v>10</v>
      </c>
      <c r="U8" s="28">
        <v>10</v>
      </c>
      <c r="V8" s="28">
        <v>10</v>
      </c>
      <c r="W8" s="28">
        <v>9</v>
      </c>
      <c r="Y8" s="29" t="e">
        <v>#NULL!</v>
      </c>
      <c r="Z8" s="29" t="e">
        <v>#NULL!</v>
      </c>
      <c r="AA8" s="29" t="e">
        <v>#NULL!</v>
      </c>
      <c r="AB8" s="29" t="e">
        <v>#NULL!</v>
      </c>
      <c r="AC8" t="s">
        <v>299</v>
      </c>
      <c r="AD8" s="28">
        <v>30</v>
      </c>
      <c r="AE8" s="29" t="e">
        <v>#NULL!</v>
      </c>
      <c r="AF8" s="29" t="e">
        <v>#NULL!</v>
      </c>
      <c r="AG8" s="29" t="e">
        <v>#NULL!</v>
      </c>
      <c r="AI8" s="29" t="e">
        <v>#NULL!</v>
      </c>
      <c r="AJ8" s="29" t="e">
        <v>#NULL!</v>
      </c>
      <c r="AK8" s="29" t="e">
        <v>#NULL!</v>
      </c>
      <c r="AL8" s="29" t="e">
        <v>#NULL!</v>
      </c>
      <c r="AM8" t="s">
        <v>300</v>
      </c>
      <c r="AN8" s="28">
        <v>22</v>
      </c>
      <c r="AO8" s="29" t="e">
        <v>#NULL!</v>
      </c>
      <c r="AP8" s="29" t="e">
        <v>#NULL!</v>
      </c>
      <c r="AQ8" s="29" t="e">
        <v>#NULL!</v>
      </c>
      <c r="AS8" s="29" t="e">
        <v>#NULL!</v>
      </c>
      <c r="AT8" s="29" t="e">
        <v>#NULL!</v>
      </c>
      <c r="AU8" s="29" t="e">
        <v>#NULL!</v>
      </c>
      <c r="AV8" s="29" t="e">
        <v>#NULL!</v>
      </c>
      <c r="AW8" t="s">
        <v>301</v>
      </c>
      <c r="AX8" s="28">
        <v>27</v>
      </c>
      <c r="AY8" s="29" t="e">
        <v>#NULL!</v>
      </c>
      <c r="AZ8" s="29" t="e">
        <v>#NULL!</v>
      </c>
      <c r="BA8" s="29" t="e">
        <v>#NULL!</v>
      </c>
      <c r="BC8" s="29" t="e">
        <v>#NULL!</v>
      </c>
      <c r="BD8" s="29" t="e">
        <v>#NULL!</v>
      </c>
      <c r="BE8" s="29" t="e">
        <v>#NULL!</v>
      </c>
      <c r="BF8" s="29" t="e">
        <v>#NULL!</v>
      </c>
      <c r="BG8" t="s">
        <v>302</v>
      </c>
      <c r="BH8" s="28">
        <v>21</v>
      </c>
      <c r="BI8" s="29" t="e">
        <v>#NULL!</v>
      </c>
      <c r="BJ8" s="29" t="e">
        <v>#NULL!</v>
      </c>
      <c r="BK8" s="29" t="e">
        <v>#NULL!</v>
      </c>
      <c r="BL8" s="28">
        <v>5</v>
      </c>
      <c r="BM8" s="28">
        <v>10</v>
      </c>
      <c r="BN8" t="s">
        <v>303</v>
      </c>
      <c r="BO8" s="28">
        <v>98</v>
      </c>
      <c r="BP8" s="29" t="e">
        <v>#NULL!</v>
      </c>
      <c r="BQ8" s="29" t="e">
        <v>#NULL!</v>
      </c>
      <c r="BR8" s="29" t="e">
        <v>#NULL!</v>
      </c>
      <c r="BS8" s="28">
        <v>10</v>
      </c>
      <c r="BT8" t="s">
        <v>304</v>
      </c>
      <c r="BU8" s="28">
        <v>97</v>
      </c>
      <c r="BV8" s="29" t="e">
        <v>#NULL!</v>
      </c>
      <c r="BW8" s="29" t="e">
        <v>#NULL!</v>
      </c>
      <c r="BX8" s="29" t="e">
        <v>#NULL!</v>
      </c>
      <c r="BZ8" s="29" t="e">
        <v>#NULL!</v>
      </c>
      <c r="CA8" s="29" t="e">
        <v>#NULL!</v>
      </c>
      <c r="CB8" s="29" t="e">
        <v>#NULL!</v>
      </c>
      <c r="CC8" s="28">
        <v>2</v>
      </c>
      <c r="CD8" s="29" t="e">
        <v>#NULL!</v>
      </c>
      <c r="CE8" s="28">
        <v>1</v>
      </c>
      <c r="CF8" s="28">
        <v>1</v>
      </c>
      <c r="CG8" s="28">
        <v>2</v>
      </c>
      <c r="CH8" t="s">
        <v>305</v>
      </c>
      <c r="CI8" s="28">
        <v>2</v>
      </c>
      <c r="CJ8" s="29" t="e">
        <v>#NULL!</v>
      </c>
      <c r="CK8" s="29" t="e">
        <v>#NULL!</v>
      </c>
      <c r="CL8" s="28">
        <v>10</v>
      </c>
      <c r="CN8" s="29" t="e">
        <v>#NULL!</v>
      </c>
      <c r="CO8" s="29" t="e">
        <v>#NULL!</v>
      </c>
      <c r="CP8" s="29" t="e">
        <v>#NULL!</v>
      </c>
      <c r="CQ8" s="28">
        <v>2</v>
      </c>
      <c r="CR8" s="29" t="e">
        <v>#NULL!</v>
      </c>
      <c r="CS8" s="28">
        <v>10</v>
      </c>
      <c r="CT8" s="28">
        <v>10</v>
      </c>
      <c r="CU8" s="28">
        <v>10</v>
      </c>
      <c r="CV8" s="28">
        <v>11</v>
      </c>
      <c r="CW8" s="28">
        <v>10</v>
      </c>
      <c r="CX8" s="28">
        <v>10</v>
      </c>
      <c r="CY8" s="28">
        <v>9</v>
      </c>
      <c r="DA8" s="29" t="e">
        <v>#NULL!</v>
      </c>
      <c r="DB8" s="29" t="e">
        <v>#NULL!</v>
      </c>
      <c r="DC8" s="28">
        <v>10</v>
      </c>
      <c r="DD8" s="29" t="e">
        <v>#NULL!</v>
      </c>
      <c r="DE8" s="29" t="e">
        <v>#NULL!</v>
      </c>
      <c r="DF8" s="29" t="e">
        <v>#NULL!</v>
      </c>
      <c r="DG8" s="29" t="e">
        <v>#NULL!</v>
      </c>
      <c r="DH8" s="29" t="e">
        <v>#NULL!</v>
      </c>
      <c r="DI8" s="29" t="e">
        <v>#NULL!</v>
      </c>
      <c r="DJ8" s="29" t="e">
        <v>#NULL!</v>
      </c>
      <c r="DK8" s="29" t="e">
        <v>#NULL!</v>
      </c>
      <c r="DL8" s="29" t="e">
        <v>#NULL!</v>
      </c>
      <c r="DN8" s="28">
        <v>1</v>
      </c>
      <c r="DP8" s="29" t="e">
        <v>#NULL!</v>
      </c>
      <c r="DQ8" s="29" t="e">
        <v>#NULL!</v>
      </c>
      <c r="DR8" s="29" t="e">
        <v>#NULL!</v>
      </c>
      <c r="DT8" s="29" t="e">
        <v>#NULL!</v>
      </c>
      <c r="DU8" s="29" t="e">
        <v>#NULL!</v>
      </c>
      <c r="DV8" s="29" t="e">
        <v>#NULL!</v>
      </c>
      <c r="DW8" s="28">
        <v>2</v>
      </c>
      <c r="DX8" s="28">
        <v>2</v>
      </c>
      <c r="DZ8" s="29" t="e">
        <v>#NULL!</v>
      </c>
      <c r="EA8" s="29" t="e">
        <v>#NULL!</v>
      </c>
      <c r="EI8" s="29" t="e">
        <v>#NULL!</v>
      </c>
      <c r="EJ8" s="29" t="e">
        <v>#NULL!</v>
      </c>
      <c r="EK8" s="29" t="e">
        <v>#NULL!</v>
      </c>
      <c r="EL8" s="29" t="e">
        <v>#NULL!</v>
      </c>
      <c r="EM8" s="28">
        <v>10</v>
      </c>
      <c r="EN8" s="28">
        <v>1</v>
      </c>
      <c r="EP8" s="28">
        <v>5</v>
      </c>
      <c r="EQ8" s="28">
        <v>3</v>
      </c>
      <c r="ER8" s="28">
        <v>1</v>
      </c>
      <c r="ES8" s="28">
        <v>78701</v>
      </c>
      <c r="ET8" s="28">
        <v>1</v>
      </c>
      <c r="EU8" s="28">
        <v>4</v>
      </c>
      <c r="EV8" s="28">
        <v>5</v>
      </c>
      <c r="EW8" s="28">
        <v>5</v>
      </c>
      <c r="EX8" s="28">
        <v>1</v>
      </c>
      <c r="EY8" t="s">
        <v>306</v>
      </c>
      <c r="EZ8" t="s">
        <v>307</v>
      </c>
      <c r="FB8" t="s">
        <v>308</v>
      </c>
      <c r="FC8" t="s">
        <v>309</v>
      </c>
      <c r="FD8" s="29" t="e">
        <v>#NULL!</v>
      </c>
      <c r="FE8" s="29" t="e">
        <v>#NULL!</v>
      </c>
      <c r="FF8" s="28">
        <v>3</v>
      </c>
      <c r="FH8" t="s">
        <v>310</v>
      </c>
      <c r="FI8" t="s">
        <v>311</v>
      </c>
    </row>
    <row r="9" spans="1:165" x14ac:dyDescent="0.15">
      <c r="A9" s="28">
        <v>58</v>
      </c>
      <c r="B9" s="28">
        <v>1</v>
      </c>
      <c r="C9" s="28">
        <v>2</v>
      </c>
      <c r="D9" s="28">
        <v>1</v>
      </c>
      <c r="E9" s="29" t="e">
        <v>#NULL!</v>
      </c>
      <c r="F9" s="28">
        <v>2</v>
      </c>
      <c r="G9" s="28">
        <v>2</v>
      </c>
      <c r="H9" s="28">
        <v>1</v>
      </c>
      <c r="J9" s="28">
        <v>2</v>
      </c>
      <c r="K9" s="28">
        <v>2</v>
      </c>
      <c r="O9" t="s">
        <v>312</v>
      </c>
      <c r="P9" s="28">
        <v>12</v>
      </c>
      <c r="Q9" s="29" t="e">
        <v>#NULL!</v>
      </c>
      <c r="R9" s="29" t="e">
        <v>#NULL!</v>
      </c>
      <c r="S9" s="29" t="e">
        <v>#NULL!</v>
      </c>
      <c r="T9" s="28">
        <v>9</v>
      </c>
      <c r="U9" s="28">
        <v>8</v>
      </c>
      <c r="V9" s="28">
        <v>8</v>
      </c>
      <c r="W9" s="28">
        <v>9</v>
      </c>
      <c r="Y9" s="29" t="e">
        <v>#NULL!</v>
      </c>
      <c r="Z9" s="29" t="e">
        <v>#NULL!</v>
      </c>
      <c r="AA9" s="29" t="e">
        <v>#NULL!</v>
      </c>
      <c r="AB9" s="29" t="e">
        <v>#NULL!</v>
      </c>
      <c r="AC9" t="s">
        <v>272</v>
      </c>
      <c r="AD9" s="29" t="e">
        <v>#NULL!</v>
      </c>
      <c r="AE9" s="29" t="e">
        <v>#NULL!</v>
      </c>
      <c r="AF9" s="29" t="e">
        <v>#NULL!</v>
      </c>
      <c r="AG9" s="29" t="e">
        <v>#NULL!</v>
      </c>
      <c r="AI9" s="29" t="e">
        <v>#NULL!</v>
      </c>
      <c r="AJ9" s="29" t="e">
        <v>#NULL!</v>
      </c>
      <c r="AK9" s="29" t="e">
        <v>#NULL!</v>
      </c>
      <c r="AL9" s="29" t="e">
        <v>#NULL!</v>
      </c>
      <c r="AM9" t="s">
        <v>272</v>
      </c>
      <c r="AN9" s="29" t="e">
        <v>#NULL!</v>
      </c>
      <c r="AO9" s="29" t="e">
        <v>#NULL!</v>
      </c>
      <c r="AP9" s="29" t="e">
        <v>#NULL!</v>
      </c>
      <c r="AQ9" s="29" t="e">
        <v>#NULL!</v>
      </c>
      <c r="AS9" s="29" t="e">
        <v>#NULL!</v>
      </c>
      <c r="AT9" s="29" t="e">
        <v>#NULL!</v>
      </c>
      <c r="AU9" s="29" t="e">
        <v>#NULL!</v>
      </c>
      <c r="AV9" s="29" t="e">
        <v>#NULL!</v>
      </c>
      <c r="AW9" t="s">
        <v>272</v>
      </c>
      <c r="AX9" s="29" t="e">
        <v>#NULL!</v>
      </c>
      <c r="AY9" s="29" t="e">
        <v>#NULL!</v>
      </c>
      <c r="AZ9" s="29" t="e">
        <v>#NULL!</v>
      </c>
      <c r="BA9" s="29" t="e">
        <v>#NULL!</v>
      </c>
      <c r="BC9" s="29" t="e">
        <v>#NULL!</v>
      </c>
      <c r="BD9" s="29" t="e">
        <v>#NULL!</v>
      </c>
      <c r="BE9" s="29" t="e">
        <v>#NULL!</v>
      </c>
      <c r="BF9" s="29" t="e">
        <v>#NULL!</v>
      </c>
      <c r="BG9" t="s">
        <v>272</v>
      </c>
      <c r="BH9" s="29" t="e">
        <v>#NULL!</v>
      </c>
      <c r="BI9" s="29" t="e">
        <v>#NULL!</v>
      </c>
      <c r="BJ9" s="29" t="e">
        <v>#NULL!</v>
      </c>
      <c r="BK9" s="29" t="e">
        <v>#NULL!</v>
      </c>
      <c r="BL9" s="28">
        <v>2</v>
      </c>
      <c r="BM9" s="28">
        <v>5</v>
      </c>
      <c r="BN9" t="s">
        <v>313</v>
      </c>
      <c r="BO9" s="28">
        <v>99</v>
      </c>
      <c r="BP9" s="29" t="e">
        <v>#NULL!</v>
      </c>
      <c r="BQ9" s="29" t="e">
        <v>#NULL!</v>
      </c>
      <c r="BR9" s="29" t="e">
        <v>#NULL!</v>
      </c>
      <c r="BS9" s="28">
        <v>3</v>
      </c>
      <c r="BT9" t="s">
        <v>314</v>
      </c>
      <c r="BU9" s="28">
        <v>1</v>
      </c>
      <c r="BV9" s="29" t="e">
        <v>#NULL!</v>
      </c>
      <c r="BW9" s="29" t="e">
        <v>#NULL!</v>
      </c>
      <c r="BX9" s="29" t="e">
        <v>#NULL!</v>
      </c>
      <c r="BZ9" s="29" t="e">
        <v>#NULL!</v>
      </c>
      <c r="CA9" s="29" t="e">
        <v>#NULL!</v>
      </c>
      <c r="CB9" s="29" t="e">
        <v>#NULL!</v>
      </c>
      <c r="CC9" s="28">
        <v>1</v>
      </c>
      <c r="CD9" s="28">
        <v>8</v>
      </c>
      <c r="CE9" s="28">
        <v>2</v>
      </c>
      <c r="CF9" s="29" t="e">
        <v>#NULL!</v>
      </c>
      <c r="CG9" s="29" t="e">
        <v>#NULL!</v>
      </c>
      <c r="CI9" s="29" t="e">
        <v>#NULL!</v>
      </c>
      <c r="CJ9" s="29" t="e">
        <v>#NULL!</v>
      </c>
      <c r="CK9" s="29" t="e">
        <v>#NULL!</v>
      </c>
      <c r="CL9" s="29" t="e">
        <v>#NULL!</v>
      </c>
      <c r="CN9" s="29" t="e">
        <v>#NULL!</v>
      </c>
      <c r="CO9" s="29" t="e">
        <v>#NULL!</v>
      </c>
      <c r="CP9" s="29" t="e">
        <v>#NULL!</v>
      </c>
      <c r="CQ9" s="28">
        <v>2</v>
      </c>
      <c r="CR9" s="29" t="e">
        <v>#NULL!</v>
      </c>
      <c r="CS9" s="28">
        <v>10</v>
      </c>
      <c r="CT9" s="28">
        <v>10</v>
      </c>
      <c r="CU9" s="28">
        <v>9</v>
      </c>
      <c r="CV9" s="28">
        <v>8</v>
      </c>
      <c r="CW9" s="28">
        <v>9</v>
      </c>
      <c r="CX9" s="28">
        <v>9</v>
      </c>
      <c r="CY9" s="28">
        <v>10</v>
      </c>
      <c r="DA9" s="29" t="e">
        <v>#NULL!</v>
      </c>
      <c r="DB9" s="29" t="e">
        <v>#NULL!</v>
      </c>
      <c r="DC9" s="28">
        <v>9</v>
      </c>
      <c r="DD9" s="29" t="e">
        <v>#NULL!</v>
      </c>
      <c r="DE9" s="29" t="e">
        <v>#NULL!</v>
      </c>
      <c r="DF9" s="29" t="e">
        <v>#NULL!</v>
      </c>
      <c r="DG9" s="29" t="e">
        <v>#NULL!</v>
      </c>
      <c r="DH9" s="29" t="e">
        <v>#NULL!</v>
      </c>
      <c r="DI9" s="29" t="e">
        <v>#NULL!</v>
      </c>
      <c r="DJ9" s="29" t="e">
        <v>#NULL!</v>
      </c>
      <c r="DK9" s="29" t="e">
        <v>#NULL!</v>
      </c>
      <c r="DL9" s="29" t="e">
        <v>#NULL!</v>
      </c>
      <c r="DN9" s="28">
        <v>1</v>
      </c>
      <c r="DP9" s="29" t="e">
        <v>#NULL!</v>
      </c>
      <c r="DQ9" s="29" t="e">
        <v>#NULL!</v>
      </c>
      <c r="DR9" s="29" t="e">
        <v>#NULL!</v>
      </c>
      <c r="DT9" s="29" t="e">
        <v>#NULL!</v>
      </c>
      <c r="DU9" s="29" t="e">
        <v>#NULL!</v>
      </c>
      <c r="DV9" s="29" t="e">
        <v>#NULL!</v>
      </c>
      <c r="DW9" s="28">
        <v>2</v>
      </c>
      <c r="DX9" s="28">
        <v>2</v>
      </c>
      <c r="DZ9" s="29" t="e">
        <v>#NULL!</v>
      </c>
      <c r="EA9" s="29" t="e">
        <v>#NULL!</v>
      </c>
      <c r="EI9" s="29" t="e">
        <v>#NULL!</v>
      </c>
      <c r="EJ9" s="29" t="e">
        <v>#NULL!</v>
      </c>
      <c r="EK9" s="29" t="e">
        <v>#NULL!</v>
      </c>
      <c r="EL9" s="29" t="e">
        <v>#NULL!</v>
      </c>
      <c r="EM9" s="28">
        <v>8</v>
      </c>
      <c r="EN9" s="28">
        <v>3</v>
      </c>
      <c r="EP9" s="28">
        <v>1</v>
      </c>
      <c r="EQ9" s="28">
        <v>1</v>
      </c>
      <c r="ER9" s="28">
        <v>2</v>
      </c>
      <c r="ES9" s="28">
        <v>78660</v>
      </c>
      <c r="ET9" s="28">
        <v>4</v>
      </c>
      <c r="EU9" s="28">
        <v>3</v>
      </c>
      <c r="EV9" s="28">
        <v>6</v>
      </c>
      <c r="EW9" s="28">
        <v>5</v>
      </c>
      <c r="EX9" s="28">
        <v>2</v>
      </c>
      <c r="EY9" t="s">
        <v>315</v>
      </c>
      <c r="EZ9" t="s">
        <v>316</v>
      </c>
      <c r="FB9" t="s">
        <v>317</v>
      </c>
      <c r="FC9" t="s">
        <v>318</v>
      </c>
      <c r="FD9" s="29" t="e">
        <v>#NULL!</v>
      </c>
      <c r="FE9" s="29" t="e">
        <v>#NULL!</v>
      </c>
      <c r="FF9" s="28">
        <v>2</v>
      </c>
      <c r="FH9" t="s">
        <v>319</v>
      </c>
      <c r="FI9" t="s">
        <v>320</v>
      </c>
    </row>
    <row r="10" spans="1:165" x14ac:dyDescent="0.15">
      <c r="A10" s="28">
        <v>61</v>
      </c>
      <c r="B10" s="28">
        <v>1</v>
      </c>
      <c r="C10" s="28">
        <v>2</v>
      </c>
      <c r="D10" s="28">
        <v>1</v>
      </c>
      <c r="E10" s="29" t="e">
        <v>#NULL!</v>
      </c>
      <c r="F10" s="28">
        <v>2</v>
      </c>
      <c r="G10" s="28">
        <v>2</v>
      </c>
      <c r="H10" s="28">
        <v>4</v>
      </c>
      <c r="I10" t="s">
        <v>321</v>
      </c>
      <c r="J10" s="28">
        <v>1</v>
      </c>
      <c r="K10" s="28">
        <v>6</v>
      </c>
      <c r="P10" s="29" t="e">
        <v>#NULL!</v>
      </c>
      <c r="Q10" s="29" t="e">
        <v>#NULL!</v>
      </c>
      <c r="R10" s="29" t="e">
        <v>#NULL!</v>
      </c>
      <c r="S10" s="29" t="e">
        <v>#NULL!</v>
      </c>
      <c r="T10" s="28">
        <v>10</v>
      </c>
      <c r="U10" s="28">
        <v>10</v>
      </c>
      <c r="V10" s="28">
        <v>10</v>
      </c>
      <c r="W10" s="28">
        <v>10</v>
      </c>
      <c r="Y10" s="29" t="e">
        <v>#NULL!</v>
      </c>
      <c r="Z10" s="29" t="e">
        <v>#NULL!</v>
      </c>
      <c r="AA10" s="29" t="e">
        <v>#NULL!</v>
      </c>
      <c r="AB10" s="29" t="e">
        <v>#NULL!</v>
      </c>
      <c r="AC10" t="s">
        <v>248</v>
      </c>
      <c r="AD10" s="29" t="e">
        <v>#NULL!</v>
      </c>
      <c r="AE10" s="29" t="e">
        <v>#NULL!</v>
      </c>
      <c r="AF10" s="29" t="e">
        <v>#NULL!</v>
      </c>
      <c r="AG10" s="29" t="e">
        <v>#NULL!</v>
      </c>
      <c r="AI10" s="29" t="e">
        <v>#NULL!</v>
      </c>
      <c r="AJ10" s="29" t="e">
        <v>#NULL!</v>
      </c>
      <c r="AK10" s="29" t="e">
        <v>#NULL!</v>
      </c>
      <c r="AL10" s="29" t="e">
        <v>#NULL!</v>
      </c>
      <c r="AM10" t="s">
        <v>248</v>
      </c>
      <c r="AN10" s="29" t="e">
        <v>#NULL!</v>
      </c>
      <c r="AO10" s="29" t="e">
        <v>#NULL!</v>
      </c>
      <c r="AP10" s="29" t="e">
        <v>#NULL!</v>
      </c>
      <c r="AQ10" s="29" t="e">
        <v>#NULL!</v>
      </c>
      <c r="AS10" s="29" t="e">
        <v>#NULL!</v>
      </c>
      <c r="AT10" s="29" t="e">
        <v>#NULL!</v>
      </c>
      <c r="AU10" s="29" t="e">
        <v>#NULL!</v>
      </c>
      <c r="AV10" s="29" t="e">
        <v>#NULL!</v>
      </c>
      <c r="AW10" t="s">
        <v>248</v>
      </c>
      <c r="AX10" s="29" t="e">
        <v>#NULL!</v>
      </c>
      <c r="AY10" s="29" t="e">
        <v>#NULL!</v>
      </c>
      <c r="AZ10" s="29" t="e">
        <v>#NULL!</v>
      </c>
      <c r="BA10" s="29" t="e">
        <v>#NULL!</v>
      </c>
      <c r="BC10" s="29" t="e">
        <v>#NULL!</v>
      </c>
      <c r="BD10" s="29" t="e">
        <v>#NULL!</v>
      </c>
      <c r="BE10" s="29" t="e">
        <v>#NULL!</v>
      </c>
      <c r="BF10" s="29" t="e">
        <v>#NULL!</v>
      </c>
      <c r="BG10" t="s">
        <v>248</v>
      </c>
      <c r="BH10" s="29" t="e">
        <v>#NULL!</v>
      </c>
      <c r="BI10" s="29" t="e">
        <v>#NULL!</v>
      </c>
      <c r="BJ10" s="29" t="e">
        <v>#NULL!</v>
      </c>
      <c r="BK10" s="29" t="e">
        <v>#NULL!</v>
      </c>
      <c r="BL10" s="28">
        <v>1</v>
      </c>
      <c r="BM10" s="29" t="e">
        <v>#NULL!</v>
      </c>
      <c r="BO10" s="29" t="e">
        <v>#NULL!</v>
      </c>
      <c r="BP10" s="29" t="e">
        <v>#NULL!</v>
      </c>
      <c r="BQ10" s="29" t="e">
        <v>#NULL!</v>
      </c>
      <c r="BR10" s="29" t="e">
        <v>#NULL!</v>
      </c>
      <c r="BS10" s="29" t="e">
        <v>#NULL!</v>
      </c>
      <c r="BU10" s="29" t="e">
        <v>#NULL!</v>
      </c>
      <c r="BV10" s="29" t="e">
        <v>#NULL!</v>
      </c>
      <c r="BW10" s="29" t="e">
        <v>#NULL!</v>
      </c>
      <c r="BX10" s="29" t="e">
        <v>#NULL!</v>
      </c>
      <c r="BZ10" s="29" t="e">
        <v>#NULL!</v>
      </c>
      <c r="CA10" s="29" t="e">
        <v>#NULL!</v>
      </c>
      <c r="CB10" s="29" t="e">
        <v>#NULL!</v>
      </c>
      <c r="CC10" s="28">
        <v>2</v>
      </c>
      <c r="CD10" s="29" t="e">
        <v>#NULL!</v>
      </c>
      <c r="CE10" s="28">
        <v>2</v>
      </c>
      <c r="CF10" s="29" t="e">
        <v>#NULL!</v>
      </c>
      <c r="CG10" s="29" t="e">
        <v>#NULL!</v>
      </c>
      <c r="CI10" s="29" t="e">
        <v>#NULL!</v>
      </c>
      <c r="CJ10" s="29" t="e">
        <v>#NULL!</v>
      </c>
      <c r="CK10" s="29" t="e">
        <v>#NULL!</v>
      </c>
      <c r="CL10" s="29" t="e">
        <v>#NULL!</v>
      </c>
      <c r="CN10" s="29" t="e">
        <v>#NULL!</v>
      </c>
      <c r="CO10" s="29" t="e">
        <v>#NULL!</v>
      </c>
      <c r="CP10" s="29" t="e">
        <v>#NULL!</v>
      </c>
      <c r="CQ10" s="28">
        <v>2</v>
      </c>
      <c r="CR10" s="29" t="e">
        <v>#NULL!</v>
      </c>
      <c r="CS10" s="28">
        <v>10</v>
      </c>
      <c r="CT10" s="28">
        <v>10</v>
      </c>
      <c r="CU10" s="28">
        <v>10</v>
      </c>
      <c r="CV10" s="28">
        <v>10</v>
      </c>
      <c r="CW10" s="28">
        <v>10</v>
      </c>
      <c r="CX10" s="28">
        <v>10</v>
      </c>
      <c r="CY10" s="28">
        <v>10</v>
      </c>
      <c r="DA10" s="29" t="e">
        <v>#NULL!</v>
      </c>
      <c r="DB10" s="29" t="e">
        <v>#NULL!</v>
      </c>
      <c r="DC10" s="28">
        <v>10</v>
      </c>
      <c r="DD10" s="29" t="e">
        <v>#NULL!</v>
      </c>
      <c r="DE10" s="29" t="e">
        <v>#NULL!</v>
      </c>
      <c r="DF10" s="29" t="e">
        <v>#NULL!</v>
      </c>
      <c r="DG10" s="29" t="e">
        <v>#NULL!</v>
      </c>
      <c r="DH10" s="29" t="e">
        <v>#NULL!</v>
      </c>
      <c r="DI10" s="29" t="e">
        <v>#NULL!</v>
      </c>
      <c r="DJ10" s="29" t="e">
        <v>#NULL!</v>
      </c>
      <c r="DK10" s="29" t="e">
        <v>#NULL!</v>
      </c>
      <c r="DL10" s="29" t="e">
        <v>#NULL!</v>
      </c>
      <c r="DN10" s="28">
        <v>1</v>
      </c>
      <c r="DP10" s="29" t="e">
        <v>#NULL!</v>
      </c>
      <c r="DQ10" s="29" t="e">
        <v>#NULL!</v>
      </c>
      <c r="DR10" s="29" t="e">
        <v>#NULL!</v>
      </c>
      <c r="DT10" s="29" t="e">
        <v>#NULL!</v>
      </c>
      <c r="DU10" s="29" t="e">
        <v>#NULL!</v>
      </c>
      <c r="DV10" s="29" t="e">
        <v>#NULL!</v>
      </c>
      <c r="DW10" s="28">
        <v>3</v>
      </c>
      <c r="DX10" s="28">
        <v>1</v>
      </c>
      <c r="DY10" t="s">
        <v>322</v>
      </c>
      <c r="DZ10" s="28">
        <v>99</v>
      </c>
      <c r="EA10" s="29" t="e">
        <v>#NULL!</v>
      </c>
      <c r="EI10" s="29" t="e">
        <v>#NULL!</v>
      </c>
      <c r="EJ10" s="29" t="e">
        <v>#NULL!</v>
      </c>
      <c r="EK10" s="29" t="e">
        <v>#NULL!</v>
      </c>
      <c r="EL10" s="29" t="e">
        <v>#NULL!</v>
      </c>
      <c r="EM10" s="28">
        <v>4</v>
      </c>
      <c r="EN10" s="28">
        <v>3</v>
      </c>
      <c r="EP10" s="28">
        <v>1</v>
      </c>
      <c r="EQ10" s="28">
        <v>1</v>
      </c>
      <c r="ER10" s="28">
        <v>1</v>
      </c>
      <c r="ES10" s="28">
        <v>78729</v>
      </c>
      <c r="ET10" s="28">
        <v>5</v>
      </c>
      <c r="EU10" s="28">
        <v>1</v>
      </c>
      <c r="EV10" s="28">
        <v>4</v>
      </c>
      <c r="EW10" s="28">
        <v>4</v>
      </c>
      <c r="EX10" s="28">
        <v>2</v>
      </c>
      <c r="EY10" t="s">
        <v>323</v>
      </c>
      <c r="EZ10" t="s">
        <v>324</v>
      </c>
      <c r="FB10" t="s">
        <v>325</v>
      </c>
      <c r="FC10" t="s">
        <v>326</v>
      </c>
      <c r="FD10" s="29" t="e">
        <v>#NULL!</v>
      </c>
      <c r="FE10" s="29" t="e">
        <v>#NULL!</v>
      </c>
      <c r="FF10" s="28">
        <v>1</v>
      </c>
      <c r="FH10" t="s">
        <v>327</v>
      </c>
      <c r="FI10" t="s">
        <v>328</v>
      </c>
    </row>
    <row r="11" spans="1:165" x14ac:dyDescent="0.15">
      <c r="A11" s="28">
        <v>64</v>
      </c>
      <c r="B11" s="28">
        <v>1</v>
      </c>
      <c r="C11" s="28">
        <v>2</v>
      </c>
      <c r="D11" s="28">
        <v>1</v>
      </c>
      <c r="E11" s="29" t="e">
        <v>#NULL!</v>
      </c>
      <c r="F11" s="28">
        <v>2</v>
      </c>
      <c r="G11" s="28">
        <v>2</v>
      </c>
      <c r="H11" s="28">
        <v>2</v>
      </c>
      <c r="J11" s="28">
        <v>2</v>
      </c>
      <c r="K11" s="28">
        <v>23</v>
      </c>
      <c r="O11" t="s">
        <v>329</v>
      </c>
      <c r="P11" s="28">
        <v>1</v>
      </c>
      <c r="Q11" s="29" t="e">
        <v>#NULL!</v>
      </c>
      <c r="R11" s="29" t="e">
        <v>#NULL!</v>
      </c>
      <c r="S11" s="29" t="e">
        <v>#NULL!</v>
      </c>
      <c r="T11" s="28">
        <v>2</v>
      </c>
      <c r="U11" s="28">
        <v>1</v>
      </c>
      <c r="V11" s="28">
        <v>5</v>
      </c>
      <c r="W11" s="28">
        <v>2</v>
      </c>
      <c r="X11" t="s">
        <v>330</v>
      </c>
      <c r="Y11" s="28">
        <v>6</v>
      </c>
      <c r="Z11" s="29" t="e">
        <v>#NULL!</v>
      </c>
      <c r="AA11" s="29" t="e">
        <v>#NULL!</v>
      </c>
      <c r="AB11" s="29" t="e">
        <v>#NULL!</v>
      </c>
      <c r="AD11" s="29" t="e">
        <v>#NULL!</v>
      </c>
      <c r="AE11" s="29" t="e">
        <v>#NULL!</v>
      </c>
      <c r="AF11" s="29" t="e">
        <v>#NULL!</v>
      </c>
      <c r="AG11" s="29" t="e">
        <v>#NULL!</v>
      </c>
      <c r="AH11" t="s">
        <v>330</v>
      </c>
      <c r="AI11" s="28">
        <v>6</v>
      </c>
      <c r="AJ11" s="29" t="e">
        <v>#NULL!</v>
      </c>
      <c r="AK11" s="29" t="e">
        <v>#NULL!</v>
      </c>
      <c r="AL11" s="29" t="e">
        <v>#NULL!</v>
      </c>
      <c r="AN11" s="29" t="e">
        <v>#NULL!</v>
      </c>
      <c r="AO11" s="29" t="e">
        <v>#NULL!</v>
      </c>
      <c r="AP11" s="29" t="e">
        <v>#NULL!</v>
      </c>
      <c r="AQ11" s="29" t="e">
        <v>#NULL!</v>
      </c>
      <c r="AS11" s="29" t="e">
        <v>#NULL!</v>
      </c>
      <c r="AT11" s="29" t="e">
        <v>#NULL!</v>
      </c>
      <c r="AU11" s="29" t="e">
        <v>#NULL!</v>
      </c>
      <c r="AV11" s="29" t="e">
        <v>#NULL!</v>
      </c>
      <c r="AX11" s="29" t="e">
        <v>#NULL!</v>
      </c>
      <c r="AY11" s="29" t="e">
        <v>#NULL!</v>
      </c>
      <c r="AZ11" s="29" t="e">
        <v>#NULL!</v>
      </c>
      <c r="BA11" s="29" t="e">
        <v>#NULL!</v>
      </c>
      <c r="BB11" t="s">
        <v>331</v>
      </c>
      <c r="BC11" s="28">
        <v>2</v>
      </c>
      <c r="BD11" s="29" t="e">
        <v>#NULL!</v>
      </c>
      <c r="BE11" s="29" t="e">
        <v>#NULL!</v>
      </c>
      <c r="BF11" s="29" t="e">
        <v>#NULL!</v>
      </c>
      <c r="BH11" s="29" t="e">
        <v>#NULL!</v>
      </c>
      <c r="BI11" s="29" t="e">
        <v>#NULL!</v>
      </c>
      <c r="BJ11" s="29" t="e">
        <v>#NULL!</v>
      </c>
      <c r="BK11" s="29" t="e">
        <v>#NULL!</v>
      </c>
      <c r="BL11" s="28">
        <v>2</v>
      </c>
      <c r="BM11" s="28">
        <v>9</v>
      </c>
      <c r="BN11" t="s">
        <v>332</v>
      </c>
      <c r="BO11" s="28">
        <v>98</v>
      </c>
      <c r="BP11" s="29" t="e">
        <v>#NULL!</v>
      </c>
      <c r="BQ11" s="29" t="e">
        <v>#NULL!</v>
      </c>
      <c r="BR11" s="29" t="e">
        <v>#NULL!</v>
      </c>
      <c r="BS11" s="28">
        <v>10</v>
      </c>
      <c r="BT11" t="s">
        <v>333</v>
      </c>
      <c r="BU11" s="28">
        <v>97</v>
      </c>
      <c r="BV11" s="29" t="e">
        <v>#NULL!</v>
      </c>
      <c r="BW11" s="29" t="e">
        <v>#NULL!</v>
      </c>
      <c r="BX11" s="29" t="e">
        <v>#NULL!</v>
      </c>
      <c r="BZ11" s="29" t="e">
        <v>#NULL!</v>
      </c>
      <c r="CA11" s="29" t="e">
        <v>#NULL!</v>
      </c>
      <c r="CB11" s="29" t="e">
        <v>#NULL!</v>
      </c>
      <c r="CC11" s="28">
        <v>1</v>
      </c>
      <c r="CD11" s="28">
        <v>4</v>
      </c>
      <c r="CE11" s="28">
        <v>1</v>
      </c>
      <c r="CF11" s="28">
        <v>1</v>
      </c>
      <c r="CG11" s="28">
        <v>2</v>
      </c>
      <c r="CH11" t="s">
        <v>334</v>
      </c>
      <c r="CI11" s="28">
        <v>1</v>
      </c>
      <c r="CJ11" s="29" t="e">
        <v>#NULL!</v>
      </c>
      <c r="CK11" s="29" t="e">
        <v>#NULL!</v>
      </c>
      <c r="CL11" s="28">
        <v>4</v>
      </c>
      <c r="CM11" t="s">
        <v>335</v>
      </c>
      <c r="CN11" s="28">
        <v>3</v>
      </c>
      <c r="CO11" s="29" t="e">
        <v>#NULL!</v>
      </c>
      <c r="CP11" s="29" t="e">
        <v>#NULL!</v>
      </c>
      <c r="CQ11" s="28">
        <v>2</v>
      </c>
      <c r="CR11" s="29" t="e">
        <v>#NULL!</v>
      </c>
      <c r="CS11" s="28">
        <v>9</v>
      </c>
      <c r="CT11" s="28">
        <v>9</v>
      </c>
      <c r="CU11" s="28">
        <v>1</v>
      </c>
      <c r="CV11" s="28">
        <v>3</v>
      </c>
      <c r="CW11" s="28">
        <v>5</v>
      </c>
      <c r="CX11" s="28">
        <v>9</v>
      </c>
      <c r="CY11" s="28">
        <v>9</v>
      </c>
      <c r="CZ11" t="s">
        <v>336</v>
      </c>
      <c r="DA11" s="28">
        <v>2</v>
      </c>
      <c r="DB11" s="29" t="e">
        <v>#NULL!</v>
      </c>
      <c r="DC11" s="28">
        <v>3</v>
      </c>
      <c r="DD11" s="28">
        <v>1</v>
      </c>
      <c r="DE11" s="28">
        <v>1</v>
      </c>
      <c r="DF11" s="28">
        <v>0</v>
      </c>
      <c r="DG11" s="28">
        <v>0</v>
      </c>
      <c r="DH11" s="28">
        <v>0</v>
      </c>
      <c r="DI11" s="28">
        <v>1</v>
      </c>
      <c r="DJ11" s="28">
        <v>0</v>
      </c>
      <c r="DK11" s="28">
        <v>1</v>
      </c>
      <c r="DL11" s="28">
        <v>0</v>
      </c>
      <c r="DN11" s="28">
        <v>2</v>
      </c>
      <c r="DO11" t="s">
        <v>337</v>
      </c>
      <c r="DP11" s="28">
        <v>5</v>
      </c>
      <c r="DQ11" s="29" t="e">
        <v>#NULL!</v>
      </c>
      <c r="DR11" s="29" t="e">
        <v>#NULL!</v>
      </c>
      <c r="DT11" s="29" t="e">
        <v>#NULL!</v>
      </c>
      <c r="DU11" s="29" t="e">
        <v>#NULL!</v>
      </c>
      <c r="DV11" s="29" t="e">
        <v>#NULL!</v>
      </c>
      <c r="DW11" s="28">
        <v>1</v>
      </c>
      <c r="DX11" s="28">
        <v>2</v>
      </c>
      <c r="DZ11" s="29" t="e">
        <v>#NULL!</v>
      </c>
      <c r="EA11" s="29" t="e">
        <v>#NULL!</v>
      </c>
      <c r="EI11" s="29" t="e">
        <v>#NULL!</v>
      </c>
      <c r="EJ11" s="29" t="e">
        <v>#NULL!</v>
      </c>
      <c r="EK11" s="29" t="e">
        <v>#NULL!</v>
      </c>
      <c r="EL11" s="29" t="e">
        <v>#NULL!</v>
      </c>
      <c r="EM11" s="28">
        <v>6</v>
      </c>
      <c r="EN11" s="28">
        <v>1</v>
      </c>
      <c r="EP11" s="28">
        <v>1</v>
      </c>
      <c r="EQ11" s="28">
        <v>1</v>
      </c>
      <c r="ER11" s="28">
        <v>2</v>
      </c>
      <c r="ES11" s="28">
        <v>78735</v>
      </c>
      <c r="ET11" s="28">
        <v>4</v>
      </c>
      <c r="EU11" s="28">
        <v>4</v>
      </c>
      <c r="EV11" s="28">
        <v>6</v>
      </c>
      <c r="EW11" s="28">
        <v>5</v>
      </c>
      <c r="EX11" s="28">
        <v>1</v>
      </c>
      <c r="EY11" t="s">
        <v>338</v>
      </c>
      <c r="EZ11" t="s">
        <v>339</v>
      </c>
      <c r="FB11" t="s">
        <v>340</v>
      </c>
      <c r="FC11" t="s">
        <v>341</v>
      </c>
      <c r="FD11" s="29" t="e">
        <v>#NULL!</v>
      </c>
      <c r="FE11" s="29" t="e">
        <v>#NULL!</v>
      </c>
      <c r="FF11" s="28">
        <v>2</v>
      </c>
      <c r="FH11" t="s">
        <v>342</v>
      </c>
      <c r="FI11" t="s">
        <v>343</v>
      </c>
    </row>
    <row r="12" spans="1:165" x14ac:dyDescent="0.15">
      <c r="A12" s="28">
        <v>76</v>
      </c>
      <c r="B12" s="28">
        <v>1</v>
      </c>
      <c r="C12" s="28">
        <v>2</v>
      </c>
      <c r="D12" s="28">
        <v>1</v>
      </c>
      <c r="E12" s="29" t="e">
        <v>#NULL!</v>
      </c>
      <c r="F12" s="28">
        <v>2</v>
      </c>
      <c r="G12" s="28">
        <v>2</v>
      </c>
      <c r="H12" s="28">
        <v>3</v>
      </c>
      <c r="J12" s="28">
        <v>1</v>
      </c>
      <c r="K12" s="28">
        <v>12</v>
      </c>
      <c r="L12" t="s">
        <v>344</v>
      </c>
      <c r="P12" s="29" t="e">
        <v>#NULL!</v>
      </c>
      <c r="Q12" s="29" t="e">
        <v>#NULL!</v>
      </c>
      <c r="R12" s="29" t="e">
        <v>#NULL!</v>
      </c>
      <c r="S12" s="29" t="e">
        <v>#NULL!</v>
      </c>
      <c r="T12" s="28">
        <v>6</v>
      </c>
      <c r="U12" s="28">
        <v>8</v>
      </c>
      <c r="V12" s="28">
        <v>5</v>
      </c>
      <c r="W12" s="28">
        <v>9</v>
      </c>
      <c r="Y12" s="29" t="e">
        <v>#NULL!</v>
      </c>
      <c r="Z12" s="29" t="e">
        <v>#NULL!</v>
      </c>
      <c r="AA12" s="29" t="e">
        <v>#NULL!</v>
      </c>
      <c r="AB12" s="29" t="e">
        <v>#NULL!</v>
      </c>
      <c r="AD12" s="29" t="e">
        <v>#NULL!</v>
      </c>
      <c r="AE12" s="29" t="e">
        <v>#NULL!</v>
      </c>
      <c r="AF12" s="29" t="e">
        <v>#NULL!</v>
      </c>
      <c r="AG12" s="29" t="e">
        <v>#NULL!</v>
      </c>
      <c r="AI12" s="29" t="e">
        <v>#NULL!</v>
      </c>
      <c r="AJ12" s="29" t="e">
        <v>#NULL!</v>
      </c>
      <c r="AK12" s="29" t="e">
        <v>#NULL!</v>
      </c>
      <c r="AL12" s="29" t="e">
        <v>#NULL!</v>
      </c>
      <c r="AM12" t="s">
        <v>345</v>
      </c>
      <c r="AN12" s="28">
        <v>25</v>
      </c>
      <c r="AO12" s="29" t="e">
        <v>#NULL!</v>
      </c>
      <c r="AP12" s="29" t="e">
        <v>#NULL!</v>
      </c>
      <c r="AQ12" s="29" t="e">
        <v>#NULL!</v>
      </c>
      <c r="AS12" s="29" t="e">
        <v>#NULL!</v>
      </c>
      <c r="AT12" s="29" t="e">
        <v>#NULL!</v>
      </c>
      <c r="AU12" s="29" t="e">
        <v>#NULL!</v>
      </c>
      <c r="AV12" s="29" t="e">
        <v>#NULL!</v>
      </c>
      <c r="AX12" s="29" t="e">
        <v>#NULL!</v>
      </c>
      <c r="AY12" s="29" t="e">
        <v>#NULL!</v>
      </c>
      <c r="AZ12" s="29" t="e">
        <v>#NULL!</v>
      </c>
      <c r="BA12" s="29" t="e">
        <v>#NULL!</v>
      </c>
      <c r="BC12" s="29" t="e">
        <v>#NULL!</v>
      </c>
      <c r="BD12" s="29" t="e">
        <v>#NULL!</v>
      </c>
      <c r="BE12" s="29" t="e">
        <v>#NULL!</v>
      </c>
      <c r="BF12" s="29" t="e">
        <v>#NULL!</v>
      </c>
      <c r="BG12" t="s">
        <v>346</v>
      </c>
      <c r="BH12" s="28">
        <v>24</v>
      </c>
      <c r="BI12" s="28">
        <v>25</v>
      </c>
      <c r="BJ12" s="29" t="e">
        <v>#NULL!</v>
      </c>
      <c r="BK12" s="29" t="e">
        <v>#NULL!</v>
      </c>
      <c r="BL12" s="28">
        <v>1</v>
      </c>
      <c r="BM12" s="29" t="e">
        <v>#NULL!</v>
      </c>
      <c r="BO12" s="29" t="e">
        <v>#NULL!</v>
      </c>
      <c r="BP12" s="29" t="e">
        <v>#NULL!</v>
      </c>
      <c r="BQ12" s="29" t="e">
        <v>#NULL!</v>
      </c>
      <c r="BR12" s="29" t="e">
        <v>#NULL!</v>
      </c>
      <c r="BS12" s="29" t="e">
        <v>#NULL!</v>
      </c>
      <c r="BU12" s="29" t="e">
        <v>#NULL!</v>
      </c>
      <c r="BV12" s="29" t="e">
        <v>#NULL!</v>
      </c>
      <c r="BW12" s="29" t="e">
        <v>#NULL!</v>
      </c>
      <c r="BX12" s="29" t="e">
        <v>#NULL!</v>
      </c>
      <c r="BZ12" s="29" t="e">
        <v>#NULL!</v>
      </c>
      <c r="CA12" s="29" t="e">
        <v>#NULL!</v>
      </c>
      <c r="CB12" s="29" t="e">
        <v>#NULL!</v>
      </c>
      <c r="CC12" s="28">
        <v>1</v>
      </c>
      <c r="CD12" s="28">
        <v>7</v>
      </c>
      <c r="CE12" s="28">
        <v>1</v>
      </c>
      <c r="CF12" s="28">
        <v>1</v>
      </c>
      <c r="CG12" s="28">
        <v>1</v>
      </c>
      <c r="CH12" t="s">
        <v>347</v>
      </c>
      <c r="CI12" s="28">
        <v>98</v>
      </c>
      <c r="CJ12" s="29" t="e">
        <v>#NULL!</v>
      </c>
      <c r="CK12" s="29" t="e">
        <v>#NULL!</v>
      </c>
      <c r="CL12" s="28">
        <v>10</v>
      </c>
      <c r="CN12" s="29" t="e">
        <v>#NULL!</v>
      </c>
      <c r="CO12" s="29" t="e">
        <v>#NULL!</v>
      </c>
      <c r="CP12" s="29" t="e">
        <v>#NULL!</v>
      </c>
      <c r="CQ12" s="28">
        <v>1</v>
      </c>
      <c r="CR12" s="28">
        <v>9</v>
      </c>
      <c r="CS12" s="28">
        <v>10</v>
      </c>
      <c r="CT12" s="28">
        <v>8</v>
      </c>
      <c r="CU12" s="28">
        <v>8</v>
      </c>
      <c r="CV12" s="28">
        <v>9</v>
      </c>
      <c r="CW12" s="28">
        <v>6</v>
      </c>
      <c r="CX12" s="28">
        <v>9</v>
      </c>
      <c r="CY12" s="28">
        <v>10</v>
      </c>
      <c r="DA12" s="29" t="e">
        <v>#NULL!</v>
      </c>
      <c r="DB12" s="29" t="e">
        <v>#NULL!</v>
      </c>
      <c r="DC12" s="28">
        <v>10</v>
      </c>
      <c r="DD12" s="29" t="e">
        <v>#NULL!</v>
      </c>
      <c r="DE12" s="29" t="e">
        <v>#NULL!</v>
      </c>
      <c r="DF12" s="29" t="e">
        <v>#NULL!</v>
      </c>
      <c r="DG12" s="29" t="e">
        <v>#NULL!</v>
      </c>
      <c r="DH12" s="29" t="e">
        <v>#NULL!</v>
      </c>
      <c r="DI12" s="29" t="e">
        <v>#NULL!</v>
      </c>
      <c r="DJ12" s="29" t="e">
        <v>#NULL!</v>
      </c>
      <c r="DK12" s="29" t="e">
        <v>#NULL!</v>
      </c>
      <c r="DL12" s="29" t="e">
        <v>#NULL!</v>
      </c>
      <c r="DN12" s="28">
        <v>1</v>
      </c>
      <c r="DP12" s="29" t="e">
        <v>#NULL!</v>
      </c>
      <c r="DQ12" s="29" t="e">
        <v>#NULL!</v>
      </c>
      <c r="DR12" s="29" t="e">
        <v>#NULL!</v>
      </c>
      <c r="DT12" s="29" t="e">
        <v>#NULL!</v>
      </c>
      <c r="DU12" s="29" t="e">
        <v>#NULL!</v>
      </c>
      <c r="DV12" s="29" t="e">
        <v>#NULL!</v>
      </c>
      <c r="DW12" s="28">
        <v>1</v>
      </c>
      <c r="DX12" s="28">
        <v>2</v>
      </c>
      <c r="DZ12" s="29" t="e">
        <v>#NULL!</v>
      </c>
      <c r="EA12" s="29" t="e">
        <v>#NULL!</v>
      </c>
      <c r="EI12" s="29" t="e">
        <v>#NULL!</v>
      </c>
      <c r="EJ12" s="29" t="e">
        <v>#NULL!</v>
      </c>
      <c r="EK12" s="29" t="e">
        <v>#NULL!</v>
      </c>
      <c r="EL12" s="29" t="e">
        <v>#NULL!</v>
      </c>
      <c r="EM12" s="28">
        <v>6</v>
      </c>
      <c r="EN12" s="28">
        <v>1</v>
      </c>
      <c r="EP12" s="28">
        <v>1</v>
      </c>
      <c r="EQ12" s="28">
        <v>1</v>
      </c>
      <c r="ER12" s="28">
        <v>2</v>
      </c>
      <c r="ES12" s="28">
        <v>78750</v>
      </c>
      <c r="ET12" s="28">
        <v>2</v>
      </c>
      <c r="EU12" s="28">
        <v>5</v>
      </c>
      <c r="EV12" s="28">
        <v>6</v>
      </c>
      <c r="EW12" s="28">
        <v>5</v>
      </c>
      <c r="EX12" s="28">
        <v>1</v>
      </c>
      <c r="EY12" t="s">
        <v>348</v>
      </c>
      <c r="EZ12" t="s">
        <v>349</v>
      </c>
      <c r="FB12" t="s">
        <v>350</v>
      </c>
      <c r="FC12" t="s">
        <v>351</v>
      </c>
      <c r="FD12" s="29" t="e">
        <v>#NULL!</v>
      </c>
      <c r="FE12" s="29" t="e">
        <v>#NULL!</v>
      </c>
      <c r="FF12" s="28">
        <v>1</v>
      </c>
      <c r="FH12" t="s">
        <v>352</v>
      </c>
      <c r="FI12" t="s">
        <v>353</v>
      </c>
    </row>
    <row r="13" spans="1:165" x14ac:dyDescent="0.15">
      <c r="A13" s="28">
        <v>78</v>
      </c>
      <c r="B13" s="28">
        <v>1</v>
      </c>
      <c r="C13" s="28">
        <v>2</v>
      </c>
      <c r="D13" s="28">
        <v>1</v>
      </c>
      <c r="E13" s="29" t="e">
        <v>#NULL!</v>
      </c>
      <c r="F13" s="28">
        <v>2</v>
      </c>
      <c r="G13" s="28">
        <v>2</v>
      </c>
      <c r="H13" s="28">
        <v>2</v>
      </c>
      <c r="J13" s="28">
        <v>1</v>
      </c>
      <c r="K13" s="28">
        <v>33</v>
      </c>
      <c r="N13" t="s">
        <v>354</v>
      </c>
      <c r="P13" s="29" t="e">
        <v>#NULL!</v>
      </c>
      <c r="Q13" s="29" t="e">
        <v>#NULL!</v>
      </c>
      <c r="R13" s="29" t="e">
        <v>#NULL!</v>
      </c>
      <c r="S13" s="29" t="e">
        <v>#NULL!</v>
      </c>
      <c r="T13" s="28">
        <v>10</v>
      </c>
      <c r="U13" s="28">
        <v>10</v>
      </c>
      <c r="V13" s="28">
        <v>10</v>
      </c>
      <c r="W13" s="28">
        <v>7</v>
      </c>
      <c r="Y13" s="29" t="e">
        <v>#NULL!</v>
      </c>
      <c r="Z13" s="29" t="e">
        <v>#NULL!</v>
      </c>
      <c r="AA13" s="29" t="e">
        <v>#NULL!</v>
      </c>
      <c r="AB13" s="29" t="e">
        <v>#NULL!</v>
      </c>
      <c r="AC13" t="s">
        <v>355</v>
      </c>
      <c r="AD13" s="28">
        <v>21</v>
      </c>
      <c r="AE13" s="29" t="e">
        <v>#NULL!</v>
      </c>
      <c r="AF13" s="29" t="e">
        <v>#NULL!</v>
      </c>
      <c r="AG13" s="29" t="e">
        <v>#NULL!</v>
      </c>
      <c r="AI13" s="29" t="e">
        <v>#NULL!</v>
      </c>
      <c r="AJ13" s="29" t="e">
        <v>#NULL!</v>
      </c>
      <c r="AK13" s="29" t="e">
        <v>#NULL!</v>
      </c>
      <c r="AL13" s="29" t="e">
        <v>#NULL!</v>
      </c>
      <c r="AM13" t="s">
        <v>356</v>
      </c>
      <c r="AN13" s="28">
        <v>25</v>
      </c>
      <c r="AO13" s="29" t="e">
        <v>#NULL!</v>
      </c>
      <c r="AP13" s="29" t="e">
        <v>#NULL!</v>
      </c>
      <c r="AQ13" s="29" t="e">
        <v>#NULL!</v>
      </c>
      <c r="AS13" s="29" t="e">
        <v>#NULL!</v>
      </c>
      <c r="AT13" s="29" t="e">
        <v>#NULL!</v>
      </c>
      <c r="AU13" s="29" t="e">
        <v>#NULL!</v>
      </c>
      <c r="AV13" s="29" t="e">
        <v>#NULL!</v>
      </c>
      <c r="AW13" t="s">
        <v>357</v>
      </c>
      <c r="AX13" s="28">
        <v>24</v>
      </c>
      <c r="AY13" s="29" t="e">
        <v>#NULL!</v>
      </c>
      <c r="AZ13" s="29" t="e">
        <v>#NULL!</v>
      </c>
      <c r="BA13" s="29" t="e">
        <v>#NULL!</v>
      </c>
      <c r="BC13" s="29" t="e">
        <v>#NULL!</v>
      </c>
      <c r="BD13" s="29" t="e">
        <v>#NULL!</v>
      </c>
      <c r="BE13" s="29" t="e">
        <v>#NULL!</v>
      </c>
      <c r="BF13" s="29" t="e">
        <v>#NULL!</v>
      </c>
      <c r="BH13" s="29" t="e">
        <v>#NULL!</v>
      </c>
      <c r="BI13" s="29" t="e">
        <v>#NULL!</v>
      </c>
      <c r="BJ13" s="29" t="e">
        <v>#NULL!</v>
      </c>
      <c r="BK13" s="29" t="e">
        <v>#NULL!</v>
      </c>
      <c r="BL13" s="28">
        <v>2</v>
      </c>
      <c r="BM13" s="28">
        <v>7</v>
      </c>
      <c r="BN13" t="s">
        <v>358</v>
      </c>
      <c r="BO13" s="28">
        <v>98</v>
      </c>
      <c r="BP13" s="29" t="e">
        <v>#NULL!</v>
      </c>
      <c r="BQ13" s="29" t="e">
        <v>#NULL!</v>
      </c>
      <c r="BR13" s="29" t="e">
        <v>#NULL!</v>
      </c>
      <c r="BS13" s="28">
        <v>10</v>
      </c>
      <c r="BT13" t="s">
        <v>359</v>
      </c>
      <c r="BU13" s="28">
        <v>97</v>
      </c>
      <c r="BV13" s="29" t="e">
        <v>#NULL!</v>
      </c>
      <c r="BW13" s="29" t="e">
        <v>#NULL!</v>
      </c>
      <c r="BX13" s="29" t="e">
        <v>#NULL!</v>
      </c>
      <c r="BZ13" s="29" t="e">
        <v>#NULL!</v>
      </c>
      <c r="CA13" s="29" t="e">
        <v>#NULL!</v>
      </c>
      <c r="CB13" s="29" t="e">
        <v>#NULL!</v>
      </c>
      <c r="CC13" s="28">
        <v>1</v>
      </c>
      <c r="CD13" s="28">
        <v>8</v>
      </c>
      <c r="CE13" s="28">
        <v>2</v>
      </c>
      <c r="CF13" s="29" t="e">
        <v>#NULL!</v>
      </c>
      <c r="CG13" s="29" t="e">
        <v>#NULL!</v>
      </c>
      <c r="CI13" s="29" t="e">
        <v>#NULL!</v>
      </c>
      <c r="CJ13" s="29" t="e">
        <v>#NULL!</v>
      </c>
      <c r="CK13" s="29" t="e">
        <v>#NULL!</v>
      </c>
      <c r="CL13" s="29" t="e">
        <v>#NULL!</v>
      </c>
      <c r="CN13" s="29" t="e">
        <v>#NULL!</v>
      </c>
      <c r="CO13" s="29" t="e">
        <v>#NULL!</v>
      </c>
      <c r="CP13" s="29" t="e">
        <v>#NULL!</v>
      </c>
      <c r="CQ13" s="28">
        <v>2</v>
      </c>
      <c r="CR13" s="29" t="e">
        <v>#NULL!</v>
      </c>
      <c r="CS13" s="28">
        <v>10</v>
      </c>
      <c r="CT13" s="28">
        <v>10</v>
      </c>
      <c r="CU13" s="28">
        <v>10</v>
      </c>
      <c r="CV13" s="28">
        <v>10</v>
      </c>
      <c r="CW13" s="28">
        <v>10</v>
      </c>
      <c r="CX13" s="28">
        <v>10</v>
      </c>
      <c r="CY13" s="28">
        <v>10</v>
      </c>
      <c r="DA13" s="29" t="e">
        <v>#NULL!</v>
      </c>
      <c r="DB13" s="29" t="e">
        <v>#NULL!</v>
      </c>
      <c r="DC13" s="28">
        <v>10</v>
      </c>
      <c r="DD13" s="29" t="e">
        <v>#NULL!</v>
      </c>
      <c r="DE13" s="29" t="e">
        <v>#NULL!</v>
      </c>
      <c r="DF13" s="29" t="e">
        <v>#NULL!</v>
      </c>
      <c r="DG13" s="29" t="e">
        <v>#NULL!</v>
      </c>
      <c r="DH13" s="29" t="e">
        <v>#NULL!</v>
      </c>
      <c r="DI13" s="29" t="e">
        <v>#NULL!</v>
      </c>
      <c r="DJ13" s="29" t="e">
        <v>#NULL!</v>
      </c>
      <c r="DK13" s="29" t="e">
        <v>#NULL!</v>
      </c>
      <c r="DL13" s="29" t="e">
        <v>#NULL!</v>
      </c>
      <c r="DN13" s="28">
        <v>1</v>
      </c>
      <c r="DP13" s="29" t="e">
        <v>#NULL!</v>
      </c>
      <c r="DQ13" s="29" t="e">
        <v>#NULL!</v>
      </c>
      <c r="DR13" s="29" t="e">
        <v>#NULL!</v>
      </c>
      <c r="DT13" s="29" t="e">
        <v>#NULL!</v>
      </c>
      <c r="DU13" s="29" t="e">
        <v>#NULL!</v>
      </c>
      <c r="DV13" s="29" t="e">
        <v>#NULL!</v>
      </c>
      <c r="DW13" s="28">
        <v>3</v>
      </c>
      <c r="DX13" s="28">
        <v>2</v>
      </c>
      <c r="DZ13" s="29" t="e">
        <v>#NULL!</v>
      </c>
      <c r="EA13" s="29" t="e">
        <v>#NULL!</v>
      </c>
      <c r="EI13" s="29" t="e">
        <v>#NULL!</v>
      </c>
      <c r="EJ13" s="29" t="e">
        <v>#NULL!</v>
      </c>
      <c r="EK13" s="29" t="e">
        <v>#NULL!</v>
      </c>
      <c r="EL13" s="29" t="e">
        <v>#NULL!</v>
      </c>
      <c r="EM13" s="28">
        <v>6</v>
      </c>
      <c r="EN13" s="28">
        <v>1</v>
      </c>
      <c r="EP13" s="28">
        <v>5</v>
      </c>
      <c r="EQ13" s="28">
        <v>1</v>
      </c>
      <c r="ER13" s="28">
        <v>2</v>
      </c>
      <c r="ES13" s="28">
        <v>78731</v>
      </c>
      <c r="ET13" s="28">
        <v>2</v>
      </c>
      <c r="EU13" s="28">
        <v>5</v>
      </c>
      <c r="EV13" s="28">
        <v>6</v>
      </c>
      <c r="EW13" s="28">
        <v>5</v>
      </c>
      <c r="EX13" s="28">
        <v>1</v>
      </c>
      <c r="EY13" t="s">
        <v>360</v>
      </c>
      <c r="EZ13" t="s">
        <v>361</v>
      </c>
      <c r="FB13" t="s">
        <v>362</v>
      </c>
      <c r="FC13" t="s">
        <v>363</v>
      </c>
      <c r="FD13" s="29" t="e">
        <v>#NULL!</v>
      </c>
      <c r="FE13" s="29" t="e">
        <v>#NULL!</v>
      </c>
      <c r="FF13" s="28">
        <v>2</v>
      </c>
      <c r="FH13" t="s">
        <v>364</v>
      </c>
      <c r="FI13" t="s">
        <v>365</v>
      </c>
    </row>
    <row r="14" spans="1:165" x14ac:dyDescent="0.15">
      <c r="A14" s="28">
        <v>79</v>
      </c>
      <c r="B14" s="28">
        <v>1</v>
      </c>
      <c r="C14" s="28">
        <v>2</v>
      </c>
      <c r="D14" s="28">
        <v>1</v>
      </c>
      <c r="E14" s="29" t="e">
        <v>#NULL!</v>
      </c>
      <c r="F14" s="28">
        <v>2</v>
      </c>
      <c r="G14" s="28">
        <v>2</v>
      </c>
      <c r="H14" s="28">
        <v>1</v>
      </c>
      <c r="J14" s="28">
        <v>1</v>
      </c>
      <c r="K14" s="28">
        <v>14</v>
      </c>
      <c r="N14" t="s">
        <v>366</v>
      </c>
      <c r="P14" s="29" t="e">
        <v>#NULL!</v>
      </c>
      <c r="Q14" s="29" t="e">
        <v>#NULL!</v>
      </c>
      <c r="R14" s="29" t="e">
        <v>#NULL!</v>
      </c>
      <c r="S14" s="29" t="e">
        <v>#NULL!</v>
      </c>
      <c r="T14" s="28">
        <v>10</v>
      </c>
      <c r="U14" s="28">
        <v>10</v>
      </c>
      <c r="V14" s="28">
        <v>10</v>
      </c>
      <c r="W14" s="28">
        <v>10</v>
      </c>
      <c r="Y14" s="29" t="e">
        <v>#NULL!</v>
      </c>
      <c r="Z14" s="29" t="e">
        <v>#NULL!</v>
      </c>
      <c r="AA14" s="29" t="e">
        <v>#NULL!</v>
      </c>
      <c r="AB14" s="29" t="e">
        <v>#NULL!</v>
      </c>
      <c r="AC14" t="s">
        <v>248</v>
      </c>
      <c r="AD14" s="29" t="e">
        <v>#NULL!</v>
      </c>
      <c r="AE14" s="29" t="e">
        <v>#NULL!</v>
      </c>
      <c r="AF14" s="29" t="e">
        <v>#NULL!</v>
      </c>
      <c r="AG14" s="29" t="e">
        <v>#NULL!</v>
      </c>
      <c r="AI14" s="29" t="e">
        <v>#NULL!</v>
      </c>
      <c r="AJ14" s="29" t="e">
        <v>#NULL!</v>
      </c>
      <c r="AK14" s="29" t="e">
        <v>#NULL!</v>
      </c>
      <c r="AL14" s="29" t="e">
        <v>#NULL!</v>
      </c>
      <c r="AM14" t="s">
        <v>248</v>
      </c>
      <c r="AN14" s="29" t="e">
        <v>#NULL!</v>
      </c>
      <c r="AO14" s="29" t="e">
        <v>#NULL!</v>
      </c>
      <c r="AP14" s="29" t="e">
        <v>#NULL!</v>
      </c>
      <c r="AQ14" s="29" t="e">
        <v>#NULL!</v>
      </c>
      <c r="AS14" s="29" t="e">
        <v>#NULL!</v>
      </c>
      <c r="AT14" s="29" t="e">
        <v>#NULL!</v>
      </c>
      <c r="AU14" s="29" t="e">
        <v>#NULL!</v>
      </c>
      <c r="AV14" s="29" t="e">
        <v>#NULL!</v>
      </c>
      <c r="AW14" t="s">
        <v>248</v>
      </c>
      <c r="AX14" s="29" t="e">
        <v>#NULL!</v>
      </c>
      <c r="AY14" s="29" t="e">
        <v>#NULL!</v>
      </c>
      <c r="AZ14" s="29" t="e">
        <v>#NULL!</v>
      </c>
      <c r="BA14" s="29" t="e">
        <v>#NULL!</v>
      </c>
      <c r="BC14" s="29" t="e">
        <v>#NULL!</v>
      </c>
      <c r="BD14" s="29" t="e">
        <v>#NULL!</v>
      </c>
      <c r="BE14" s="29" t="e">
        <v>#NULL!</v>
      </c>
      <c r="BF14" s="29" t="e">
        <v>#NULL!</v>
      </c>
      <c r="BG14" t="s">
        <v>248</v>
      </c>
      <c r="BH14" s="29" t="e">
        <v>#NULL!</v>
      </c>
      <c r="BI14" s="29" t="e">
        <v>#NULL!</v>
      </c>
      <c r="BJ14" s="29" t="e">
        <v>#NULL!</v>
      </c>
      <c r="BK14" s="29" t="e">
        <v>#NULL!</v>
      </c>
      <c r="BL14" s="28">
        <v>1</v>
      </c>
      <c r="BM14" s="29" t="e">
        <v>#NULL!</v>
      </c>
      <c r="BO14" s="29" t="e">
        <v>#NULL!</v>
      </c>
      <c r="BP14" s="29" t="e">
        <v>#NULL!</v>
      </c>
      <c r="BQ14" s="29" t="e">
        <v>#NULL!</v>
      </c>
      <c r="BR14" s="29" t="e">
        <v>#NULL!</v>
      </c>
      <c r="BS14" s="29" t="e">
        <v>#NULL!</v>
      </c>
      <c r="BU14" s="29" t="e">
        <v>#NULL!</v>
      </c>
      <c r="BV14" s="29" t="e">
        <v>#NULL!</v>
      </c>
      <c r="BW14" s="29" t="e">
        <v>#NULL!</v>
      </c>
      <c r="BX14" s="29" t="e">
        <v>#NULL!</v>
      </c>
      <c r="BZ14" s="29" t="e">
        <v>#NULL!</v>
      </c>
      <c r="CA14" s="29" t="e">
        <v>#NULL!</v>
      </c>
      <c r="CB14" s="29" t="e">
        <v>#NULL!</v>
      </c>
      <c r="CC14" s="28">
        <v>2</v>
      </c>
      <c r="CD14" s="29" t="e">
        <v>#NULL!</v>
      </c>
      <c r="CE14" s="28">
        <v>2</v>
      </c>
      <c r="CF14" s="29" t="e">
        <v>#NULL!</v>
      </c>
      <c r="CG14" s="29" t="e">
        <v>#NULL!</v>
      </c>
      <c r="CI14" s="29" t="e">
        <v>#NULL!</v>
      </c>
      <c r="CJ14" s="29" t="e">
        <v>#NULL!</v>
      </c>
      <c r="CK14" s="29" t="e">
        <v>#NULL!</v>
      </c>
      <c r="CL14" s="29" t="e">
        <v>#NULL!</v>
      </c>
      <c r="CN14" s="29" t="e">
        <v>#NULL!</v>
      </c>
      <c r="CO14" s="29" t="e">
        <v>#NULL!</v>
      </c>
      <c r="CP14" s="29" t="e">
        <v>#NULL!</v>
      </c>
      <c r="CQ14" s="28">
        <v>2</v>
      </c>
      <c r="CR14" s="29" t="e">
        <v>#NULL!</v>
      </c>
      <c r="CS14" s="28">
        <v>10</v>
      </c>
      <c r="CT14" s="28">
        <v>10</v>
      </c>
      <c r="CU14" s="28">
        <v>10</v>
      </c>
      <c r="CV14" s="28">
        <v>10</v>
      </c>
      <c r="CW14" s="28">
        <v>10</v>
      </c>
      <c r="CX14" s="28">
        <v>10</v>
      </c>
      <c r="CY14" s="28">
        <v>10</v>
      </c>
      <c r="DA14" s="29" t="e">
        <v>#NULL!</v>
      </c>
      <c r="DB14" s="29" t="e">
        <v>#NULL!</v>
      </c>
      <c r="DC14" s="28">
        <v>10</v>
      </c>
      <c r="DD14" s="29" t="e">
        <v>#NULL!</v>
      </c>
      <c r="DE14" s="29" t="e">
        <v>#NULL!</v>
      </c>
      <c r="DF14" s="29" t="e">
        <v>#NULL!</v>
      </c>
      <c r="DG14" s="29" t="e">
        <v>#NULL!</v>
      </c>
      <c r="DH14" s="29" t="e">
        <v>#NULL!</v>
      </c>
      <c r="DI14" s="29" t="e">
        <v>#NULL!</v>
      </c>
      <c r="DJ14" s="29" t="e">
        <v>#NULL!</v>
      </c>
      <c r="DK14" s="29" t="e">
        <v>#NULL!</v>
      </c>
      <c r="DL14" s="29" t="e">
        <v>#NULL!</v>
      </c>
      <c r="DN14" s="28">
        <v>1</v>
      </c>
      <c r="DP14" s="29" t="e">
        <v>#NULL!</v>
      </c>
      <c r="DQ14" s="29" t="e">
        <v>#NULL!</v>
      </c>
      <c r="DR14" s="29" t="e">
        <v>#NULL!</v>
      </c>
      <c r="DT14" s="29" t="e">
        <v>#NULL!</v>
      </c>
      <c r="DU14" s="29" t="e">
        <v>#NULL!</v>
      </c>
      <c r="DV14" s="29" t="e">
        <v>#NULL!</v>
      </c>
      <c r="DW14" s="28">
        <v>2</v>
      </c>
      <c r="DX14" s="28">
        <v>2</v>
      </c>
      <c r="DZ14" s="29" t="e">
        <v>#NULL!</v>
      </c>
      <c r="EA14" s="29" t="e">
        <v>#NULL!</v>
      </c>
      <c r="EI14" s="29" t="e">
        <v>#NULL!</v>
      </c>
      <c r="EJ14" s="29" t="e">
        <v>#NULL!</v>
      </c>
      <c r="EK14" s="29" t="e">
        <v>#NULL!</v>
      </c>
      <c r="EL14" s="29" t="e">
        <v>#NULL!</v>
      </c>
      <c r="EM14" s="28">
        <v>10</v>
      </c>
      <c r="EN14" s="28">
        <v>1</v>
      </c>
      <c r="EP14" s="28">
        <v>5</v>
      </c>
      <c r="EQ14" s="28">
        <v>5</v>
      </c>
      <c r="ER14" s="28">
        <v>1</v>
      </c>
      <c r="ES14" s="28">
        <v>78759</v>
      </c>
      <c r="ET14" s="28">
        <v>3</v>
      </c>
      <c r="EU14" s="28">
        <v>4</v>
      </c>
      <c r="EV14" s="28">
        <v>2</v>
      </c>
      <c r="EW14" s="28">
        <v>5</v>
      </c>
      <c r="EX14" s="28">
        <v>2</v>
      </c>
      <c r="EY14" t="s">
        <v>367</v>
      </c>
      <c r="EZ14" t="s">
        <v>368</v>
      </c>
      <c r="FB14" t="s">
        <v>369</v>
      </c>
      <c r="FC14" t="s">
        <v>370</v>
      </c>
      <c r="FD14" s="29" t="e">
        <v>#NULL!</v>
      </c>
      <c r="FE14" s="29" t="e">
        <v>#NULL!</v>
      </c>
      <c r="FF14" s="28">
        <v>1</v>
      </c>
      <c r="FH14" t="s">
        <v>371</v>
      </c>
      <c r="FI14" t="s">
        <v>372</v>
      </c>
    </row>
    <row r="15" spans="1:165" x14ac:dyDescent="0.15">
      <c r="A15" s="28">
        <v>83</v>
      </c>
      <c r="B15" s="28">
        <v>1</v>
      </c>
      <c r="C15" s="28">
        <v>2</v>
      </c>
      <c r="D15" s="28">
        <v>1</v>
      </c>
      <c r="E15" s="29" t="e">
        <v>#NULL!</v>
      </c>
      <c r="F15" s="28">
        <v>2</v>
      </c>
      <c r="G15" s="28">
        <v>2</v>
      </c>
      <c r="H15" s="28">
        <v>4</v>
      </c>
      <c r="I15" t="s">
        <v>373</v>
      </c>
      <c r="J15" s="28">
        <v>1</v>
      </c>
      <c r="K15" s="28">
        <v>20</v>
      </c>
      <c r="P15" s="29" t="e">
        <v>#NULL!</v>
      </c>
      <c r="Q15" s="29" t="e">
        <v>#NULL!</v>
      </c>
      <c r="R15" s="29" t="e">
        <v>#NULL!</v>
      </c>
      <c r="S15" s="29" t="e">
        <v>#NULL!</v>
      </c>
      <c r="T15" s="28">
        <v>3</v>
      </c>
      <c r="U15" s="28">
        <v>10</v>
      </c>
      <c r="V15" s="28">
        <v>6</v>
      </c>
      <c r="W15" s="28">
        <v>10</v>
      </c>
      <c r="X15" t="s">
        <v>374</v>
      </c>
      <c r="Y15" s="28">
        <v>5</v>
      </c>
      <c r="Z15" s="29" t="e">
        <v>#NULL!</v>
      </c>
      <c r="AA15" s="29" t="e">
        <v>#NULL!</v>
      </c>
      <c r="AB15" s="29" t="e">
        <v>#NULL!</v>
      </c>
      <c r="AD15" s="29" t="e">
        <v>#NULL!</v>
      </c>
      <c r="AE15" s="29" t="e">
        <v>#NULL!</v>
      </c>
      <c r="AF15" s="29" t="e">
        <v>#NULL!</v>
      </c>
      <c r="AG15" s="29" t="e">
        <v>#NULL!</v>
      </c>
      <c r="AI15" s="29" t="e">
        <v>#NULL!</v>
      </c>
      <c r="AJ15" s="29" t="e">
        <v>#NULL!</v>
      </c>
      <c r="AK15" s="29" t="e">
        <v>#NULL!</v>
      </c>
      <c r="AL15" s="29" t="e">
        <v>#NULL!</v>
      </c>
      <c r="AM15" t="s">
        <v>375</v>
      </c>
      <c r="AN15" s="28">
        <v>30</v>
      </c>
      <c r="AO15" s="29" t="e">
        <v>#NULL!</v>
      </c>
      <c r="AP15" s="29" t="e">
        <v>#NULL!</v>
      </c>
      <c r="AQ15" s="29" t="e">
        <v>#NULL!</v>
      </c>
      <c r="AS15" s="29" t="e">
        <v>#NULL!</v>
      </c>
      <c r="AT15" s="29" t="e">
        <v>#NULL!</v>
      </c>
      <c r="AU15" s="29" t="e">
        <v>#NULL!</v>
      </c>
      <c r="AV15" s="29" t="e">
        <v>#NULL!</v>
      </c>
      <c r="AX15" s="29" t="e">
        <v>#NULL!</v>
      </c>
      <c r="AY15" s="29" t="e">
        <v>#NULL!</v>
      </c>
      <c r="AZ15" s="29" t="e">
        <v>#NULL!</v>
      </c>
      <c r="BA15" s="29" t="e">
        <v>#NULL!</v>
      </c>
      <c r="BC15" s="29" t="e">
        <v>#NULL!</v>
      </c>
      <c r="BD15" s="29" t="e">
        <v>#NULL!</v>
      </c>
      <c r="BE15" s="29" t="e">
        <v>#NULL!</v>
      </c>
      <c r="BF15" s="29" t="e">
        <v>#NULL!</v>
      </c>
      <c r="BG15" t="s">
        <v>376</v>
      </c>
      <c r="BH15" s="28">
        <v>22</v>
      </c>
      <c r="BI15" s="29" t="e">
        <v>#NULL!</v>
      </c>
      <c r="BJ15" s="29" t="e">
        <v>#NULL!</v>
      </c>
      <c r="BK15" s="29" t="e">
        <v>#NULL!</v>
      </c>
      <c r="BL15" s="28">
        <v>2</v>
      </c>
      <c r="BM15" s="28">
        <v>4</v>
      </c>
      <c r="BN15" t="s">
        <v>377</v>
      </c>
      <c r="BO15" s="28">
        <v>98</v>
      </c>
      <c r="BP15" s="29" t="e">
        <v>#NULL!</v>
      </c>
      <c r="BQ15" s="29" t="e">
        <v>#NULL!</v>
      </c>
      <c r="BR15" s="29" t="e">
        <v>#NULL!</v>
      </c>
      <c r="BS15" s="28">
        <v>7</v>
      </c>
      <c r="BT15" t="s">
        <v>378</v>
      </c>
      <c r="BU15" s="28">
        <v>13</v>
      </c>
      <c r="BV15" s="29" t="e">
        <v>#NULL!</v>
      </c>
      <c r="BW15" s="29" t="e">
        <v>#NULL!</v>
      </c>
      <c r="BX15" s="29" t="e">
        <v>#NULL!</v>
      </c>
      <c r="BZ15" s="29" t="e">
        <v>#NULL!</v>
      </c>
      <c r="CA15" s="29" t="e">
        <v>#NULL!</v>
      </c>
      <c r="CB15" s="29" t="e">
        <v>#NULL!</v>
      </c>
      <c r="CC15" s="28">
        <v>1</v>
      </c>
      <c r="CD15" s="28">
        <v>10</v>
      </c>
      <c r="CE15" s="28">
        <v>1</v>
      </c>
      <c r="CF15" s="28">
        <v>1</v>
      </c>
      <c r="CG15" s="28">
        <v>1</v>
      </c>
      <c r="CH15" t="s">
        <v>379</v>
      </c>
      <c r="CI15" s="28">
        <v>1</v>
      </c>
      <c r="CJ15" s="29" t="e">
        <v>#NULL!</v>
      </c>
      <c r="CK15" s="29" t="e">
        <v>#NULL!</v>
      </c>
      <c r="CL15" s="28">
        <v>10</v>
      </c>
      <c r="CN15" s="29" t="e">
        <v>#NULL!</v>
      </c>
      <c r="CO15" s="29" t="e">
        <v>#NULL!</v>
      </c>
      <c r="CP15" s="29" t="e">
        <v>#NULL!</v>
      </c>
      <c r="CQ15" s="28">
        <v>2</v>
      </c>
      <c r="CR15" s="29" t="e">
        <v>#NULL!</v>
      </c>
      <c r="CS15" s="28">
        <v>10</v>
      </c>
      <c r="CT15" s="28">
        <v>10</v>
      </c>
      <c r="CU15" s="28">
        <v>10</v>
      </c>
      <c r="CV15" s="28">
        <v>10</v>
      </c>
      <c r="CW15" s="28">
        <v>10</v>
      </c>
      <c r="CX15" s="28">
        <v>10</v>
      </c>
      <c r="CY15" s="28">
        <v>10</v>
      </c>
      <c r="DA15" s="29" t="e">
        <v>#NULL!</v>
      </c>
      <c r="DB15" s="29" t="e">
        <v>#NULL!</v>
      </c>
      <c r="DC15" s="28">
        <v>10</v>
      </c>
      <c r="DD15" s="29" t="e">
        <v>#NULL!</v>
      </c>
      <c r="DE15" s="29" t="e">
        <v>#NULL!</v>
      </c>
      <c r="DF15" s="29" t="e">
        <v>#NULL!</v>
      </c>
      <c r="DG15" s="29" t="e">
        <v>#NULL!</v>
      </c>
      <c r="DH15" s="29" t="e">
        <v>#NULL!</v>
      </c>
      <c r="DI15" s="29" t="e">
        <v>#NULL!</v>
      </c>
      <c r="DJ15" s="29" t="e">
        <v>#NULL!</v>
      </c>
      <c r="DK15" s="29" t="e">
        <v>#NULL!</v>
      </c>
      <c r="DL15" s="29" t="e">
        <v>#NULL!</v>
      </c>
      <c r="DN15" s="28">
        <v>1</v>
      </c>
      <c r="DP15" s="29" t="e">
        <v>#NULL!</v>
      </c>
      <c r="DQ15" s="29" t="e">
        <v>#NULL!</v>
      </c>
      <c r="DR15" s="29" t="e">
        <v>#NULL!</v>
      </c>
      <c r="DT15" s="29" t="e">
        <v>#NULL!</v>
      </c>
      <c r="DU15" s="29" t="e">
        <v>#NULL!</v>
      </c>
      <c r="DV15" s="29" t="e">
        <v>#NULL!</v>
      </c>
      <c r="DW15" s="28">
        <v>4</v>
      </c>
      <c r="DX15" s="28">
        <v>1</v>
      </c>
      <c r="DY15" t="s">
        <v>380</v>
      </c>
      <c r="DZ15" s="28">
        <v>3</v>
      </c>
      <c r="EA15" s="29" t="e">
        <v>#NULL!</v>
      </c>
      <c r="EI15" s="29" t="e">
        <v>#NULL!</v>
      </c>
      <c r="EJ15" s="29" t="e">
        <v>#NULL!</v>
      </c>
      <c r="EK15" s="29" t="e">
        <v>#NULL!</v>
      </c>
      <c r="EL15" s="29" t="e">
        <v>#NULL!</v>
      </c>
      <c r="EM15" s="28">
        <v>4</v>
      </c>
      <c r="EN15" s="28">
        <v>1</v>
      </c>
      <c r="EP15" s="28">
        <v>1</v>
      </c>
      <c r="EQ15" s="28">
        <v>2</v>
      </c>
      <c r="ER15" s="28">
        <v>2</v>
      </c>
      <c r="ES15" s="28">
        <v>78704</v>
      </c>
      <c r="ET15" s="28">
        <v>1</v>
      </c>
      <c r="EU15" s="28">
        <v>5</v>
      </c>
      <c r="EV15" s="28">
        <v>6</v>
      </c>
      <c r="EW15" s="28">
        <v>5</v>
      </c>
      <c r="EX15" s="28">
        <v>1</v>
      </c>
      <c r="EY15" t="s">
        <v>381</v>
      </c>
      <c r="EZ15" t="s">
        <v>382</v>
      </c>
      <c r="FB15" t="s">
        <v>383</v>
      </c>
      <c r="FC15" t="s">
        <v>384</v>
      </c>
      <c r="FD15" s="29" t="e">
        <v>#NULL!</v>
      </c>
      <c r="FE15" s="29" t="e">
        <v>#NULL!</v>
      </c>
      <c r="FF15" s="28">
        <v>2</v>
      </c>
      <c r="FH15" t="s">
        <v>385</v>
      </c>
      <c r="FI15" t="s">
        <v>386</v>
      </c>
    </row>
    <row r="16" spans="1:165" x14ac:dyDescent="0.15">
      <c r="A16" s="28">
        <v>86</v>
      </c>
      <c r="B16" s="28">
        <v>1</v>
      </c>
      <c r="C16" s="28">
        <v>2</v>
      </c>
      <c r="D16" s="28">
        <v>1</v>
      </c>
      <c r="E16" s="29" t="e">
        <v>#NULL!</v>
      </c>
      <c r="F16" s="28">
        <v>2</v>
      </c>
      <c r="G16" s="28">
        <v>2</v>
      </c>
      <c r="H16" s="28">
        <v>2</v>
      </c>
      <c r="J16" s="28">
        <v>1</v>
      </c>
      <c r="K16" s="28">
        <v>3</v>
      </c>
      <c r="P16" s="29" t="e">
        <v>#NULL!</v>
      </c>
      <c r="Q16" s="29" t="e">
        <v>#NULL!</v>
      </c>
      <c r="R16" s="29" t="e">
        <v>#NULL!</v>
      </c>
      <c r="S16" s="29" t="e">
        <v>#NULL!</v>
      </c>
      <c r="T16" s="28">
        <v>10</v>
      </c>
      <c r="U16" s="28">
        <v>10</v>
      </c>
      <c r="V16" s="28">
        <v>10</v>
      </c>
      <c r="W16" s="28">
        <v>10</v>
      </c>
      <c r="Y16" s="29" t="e">
        <v>#NULL!</v>
      </c>
      <c r="Z16" s="29" t="e">
        <v>#NULL!</v>
      </c>
      <c r="AA16" s="29" t="e">
        <v>#NULL!</v>
      </c>
      <c r="AB16" s="29" t="e">
        <v>#NULL!</v>
      </c>
      <c r="AC16" t="s">
        <v>248</v>
      </c>
      <c r="AD16" s="29" t="e">
        <v>#NULL!</v>
      </c>
      <c r="AE16" s="29" t="e">
        <v>#NULL!</v>
      </c>
      <c r="AF16" s="29" t="e">
        <v>#NULL!</v>
      </c>
      <c r="AG16" s="29" t="e">
        <v>#NULL!</v>
      </c>
      <c r="AI16" s="29" t="e">
        <v>#NULL!</v>
      </c>
      <c r="AJ16" s="29" t="e">
        <v>#NULL!</v>
      </c>
      <c r="AK16" s="29" t="e">
        <v>#NULL!</v>
      </c>
      <c r="AL16" s="29" t="e">
        <v>#NULL!</v>
      </c>
      <c r="AM16" t="s">
        <v>248</v>
      </c>
      <c r="AN16" s="29" t="e">
        <v>#NULL!</v>
      </c>
      <c r="AO16" s="29" t="e">
        <v>#NULL!</v>
      </c>
      <c r="AP16" s="29" t="e">
        <v>#NULL!</v>
      </c>
      <c r="AQ16" s="29" t="e">
        <v>#NULL!</v>
      </c>
      <c r="AS16" s="29" t="e">
        <v>#NULL!</v>
      </c>
      <c r="AT16" s="29" t="e">
        <v>#NULL!</v>
      </c>
      <c r="AU16" s="29" t="e">
        <v>#NULL!</v>
      </c>
      <c r="AV16" s="29" t="e">
        <v>#NULL!</v>
      </c>
      <c r="AW16" t="s">
        <v>248</v>
      </c>
      <c r="AX16" s="29" t="e">
        <v>#NULL!</v>
      </c>
      <c r="AY16" s="29" t="e">
        <v>#NULL!</v>
      </c>
      <c r="AZ16" s="29" t="e">
        <v>#NULL!</v>
      </c>
      <c r="BA16" s="29" t="e">
        <v>#NULL!</v>
      </c>
      <c r="BC16" s="29" t="e">
        <v>#NULL!</v>
      </c>
      <c r="BD16" s="29" t="e">
        <v>#NULL!</v>
      </c>
      <c r="BE16" s="29" t="e">
        <v>#NULL!</v>
      </c>
      <c r="BF16" s="29" t="e">
        <v>#NULL!</v>
      </c>
      <c r="BG16" t="s">
        <v>248</v>
      </c>
      <c r="BH16" s="29" t="e">
        <v>#NULL!</v>
      </c>
      <c r="BI16" s="29" t="e">
        <v>#NULL!</v>
      </c>
      <c r="BJ16" s="29" t="e">
        <v>#NULL!</v>
      </c>
      <c r="BK16" s="29" t="e">
        <v>#NULL!</v>
      </c>
      <c r="BL16" s="28">
        <v>1</v>
      </c>
      <c r="BM16" s="29" t="e">
        <v>#NULL!</v>
      </c>
      <c r="BO16" s="29" t="e">
        <v>#NULL!</v>
      </c>
      <c r="BP16" s="29" t="e">
        <v>#NULL!</v>
      </c>
      <c r="BQ16" s="29" t="e">
        <v>#NULL!</v>
      </c>
      <c r="BR16" s="29" t="e">
        <v>#NULL!</v>
      </c>
      <c r="BS16" s="29" t="e">
        <v>#NULL!</v>
      </c>
      <c r="BU16" s="29" t="e">
        <v>#NULL!</v>
      </c>
      <c r="BV16" s="29" t="e">
        <v>#NULL!</v>
      </c>
      <c r="BW16" s="29" t="e">
        <v>#NULL!</v>
      </c>
      <c r="BX16" s="29" t="e">
        <v>#NULL!</v>
      </c>
      <c r="BZ16" s="29" t="e">
        <v>#NULL!</v>
      </c>
      <c r="CA16" s="29" t="e">
        <v>#NULL!</v>
      </c>
      <c r="CB16" s="29" t="e">
        <v>#NULL!</v>
      </c>
      <c r="CC16" s="28">
        <v>1</v>
      </c>
      <c r="CD16" s="28">
        <v>10</v>
      </c>
      <c r="CE16" s="28">
        <v>2</v>
      </c>
      <c r="CF16" s="29" t="e">
        <v>#NULL!</v>
      </c>
      <c r="CG16" s="29" t="e">
        <v>#NULL!</v>
      </c>
      <c r="CI16" s="29" t="e">
        <v>#NULL!</v>
      </c>
      <c r="CJ16" s="29" t="e">
        <v>#NULL!</v>
      </c>
      <c r="CK16" s="29" t="e">
        <v>#NULL!</v>
      </c>
      <c r="CL16" s="29" t="e">
        <v>#NULL!</v>
      </c>
      <c r="CN16" s="29" t="e">
        <v>#NULL!</v>
      </c>
      <c r="CO16" s="29" t="e">
        <v>#NULL!</v>
      </c>
      <c r="CP16" s="29" t="e">
        <v>#NULL!</v>
      </c>
      <c r="CQ16" s="28">
        <v>2</v>
      </c>
      <c r="CR16" s="29" t="e">
        <v>#NULL!</v>
      </c>
      <c r="CS16" s="28">
        <v>10</v>
      </c>
      <c r="CT16" s="28">
        <v>10</v>
      </c>
      <c r="CU16" s="28">
        <v>10</v>
      </c>
      <c r="CV16" s="28">
        <v>10</v>
      </c>
      <c r="CW16" s="28">
        <v>10</v>
      </c>
      <c r="CX16" s="28">
        <v>10</v>
      </c>
      <c r="CY16" s="28">
        <v>10</v>
      </c>
      <c r="DA16" s="29" t="e">
        <v>#NULL!</v>
      </c>
      <c r="DB16" s="29" t="e">
        <v>#NULL!</v>
      </c>
      <c r="DC16" s="28">
        <v>10</v>
      </c>
      <c r="DD16" s="29" t="e">
        <v>#NULL!</v>
      </c>
      <c r="DE16" s="29" t="e">
        <v>#NULL!</v>
      </c>
      <c r="DF16" s="29" t="e">
        <v>#NULL!</v>
      </c>
      <c r="DG16" s="29" t="e">
        <v>#NULL!</v>
      </c>
      <c r="DH16" s="29" t="e">
        <v>#NULL!</v>
      </c>
      <c r="DI16" s="29" t="e">
        <v>#NULL!</v>
      </c>
      <c r="DJ16" s="29" t="e">
        <v>#NULL!</v>
      </c>
      <c r="DK16" s="29" t="e">
        <v>#NULL!</v>
      </c>
      <c r="DL16" s="29" t="e">
        <v>#NULL!</v>
      </c>
      <c r="DN16" s="28">
        <v>1</v>
      </c>
      <c r="DP16" s="29" t="e">
        <v>#NULL!</v>
      </c>
      <c r="DQ16" s="29" t="e">
        <v>#NULL!</v>
      </c>
      <c r="DR16" s="29" t="e">
        <v>#NULL!</v>
      </c>
      <c r="DT16" s="29" t="e">
        <v>#NULL!</v>
      </c>
      <c r="DU16" s="29" t="e">
        <v>#NULL!</v>
      </c>
      <c r="DV16" s="29" t="e">
        <v>#NULL!</v>
      </c>
      <c r="DW16" s="28">
        <v>3</v>
      </c>
      <c r="DX16" s="28">
        <v>2</v>
      </c>
      <c r="DZ16" s="29" t="e">
        <v>#NULL!</v>
      </c>
      <c r="EA16" s="29" t="e">
        <v>#NULL!</v>
      </c>
      <c r="EI16" s="29" t="e">
        <v>#NULL!</v>
      </c>
      <c r="EJ16" s="29" t="e">
        <v>#NULL!</v>
      </c>
      <c r="EK16" s="29" t="e">
        <v>#NULL!</v>
      </c>
      <c r="EL16" s="29" t="e">
        <v>#NULL!</v>
      </c>
      <c r="EM16" s="28">
        <v>9</v>
      </c>
      <c r="EN16" s="28">
        <v>3</v>
      </c>
      <c r="EP16" s="28">
        <v>5</v>
      </c>
      <c r="EQ16" s="28">
        <v>3</v>
      </c>
      <c r="ER16" s="28">
        <v>2</v>
      </c>
      <c r="ES16" s="28">
        <v>78724</v>
      </c>
      <c r="ET16" s="28">
        <v>1</v>
      </c>
      <c r="EU16" s="28">
        <v>3</v>
      </c>
      <c r="EV16" s="28">
        <v>2</v>
      </c>
      <c r="EW16" s="28">
        <v>5</v>
      </c>
      <c r="EX16" s="28">
        <v>1</v>
      </c>
      <c r="EY16" t="s">
        <v>387</v>
      </c>
      <c r="EZ16" t="s">
        <v>388</v>
      </c>
      <c r="FB16" t="s">
        <v>389</v>
      </c>
      <c r="FC16" t="s">
        <v>390</v>
      </c>
      <c r="FD16" s="29" t="e">
        <v>#NULL!</v>
      </c>
      <c r="FE16" s="29" t="e">
        <v>#NULL!</v>
      </c>
      <c r="FF16" s="28">
        <v>1</v>
      </c>
      <c r="FH16" t="s">
        <v>391</v>
      </c>
      <c r="FI16" t="s">
        <v>392</v>
      </c>
    </row>
    <row r="17" spans="1:165" x14ac:dyDescent="0.15">
      <c r="A17" s="28">
        <v>91</v>
      </c>
      <c r="B17" s="28">
        <v>1</v>
      </c>
      <c r="C17" s="28">
        <v>2</v>
      </c>
      <c r="D17" s="28">
        <v>1</v>
      </c>
      <c r="E17" s="29" t="e">
        <v>#NULL!</v>
      </c>
      <c r="F17" s="28">
        <v>3</v>
      </c>
      <c r="G17" s="28">
        <v>2</v>
      </c>
      <c r="H17" s="28">
        <v>3</v>
      </c>
      <c r="J17" s="28">
        <v>1</v>
      </c>
      <c r="K17" s="28">
        <v>21</v>
      </c>
      <c r="P17" s="29" t="e">
        <v>#NULL!</v>
      </c>
      <c r="Q17" s="29" t="e">
        <v>#NULL!</v>
      </c>
      <c r="R17" s="29" t="e">
        <v>#NULL!</v>
      </c>
      <c r="S17" s="29" t="e">
        <v>#NULL!</v>
      </c>
      <c r="T17" s="28">
        <v>10</v>
      </c>
      <c r="U17" s="28">
        <v>10</v>
      </c>
      <c r="V17" s="28">
        <v>10</v>
      </c>
      <c r="W17" s="28">
        <v>10</v>
      </c>
      <c r="Y17" s="29" t="e">
        <v>#NULL!</v>
      </c>
      <c r="Z17" s="29" t="e">
        <v>#NULL!</v>
      </c>
      <c r="AA17" s="29" t="e">
        <v>#NULL!</v>
      </c>
      <c r="AB17" s="29" t="e">
        <v>#NULL!</v>
      </c>
      <c r="AC17" t="s">
        <v>393</v>
      </c>
      <c r="AD17" s="28">
        <v>20</v>
      </c>
      <c r="AE17" s="29" t="e">
        <v>#NULL!</v>
      </c>
      <c r="AF17" s="29" t="e">
        <v>#NULL!</v>
      </c>
      <c r="AG17" s="29" t="e">
        <v>#NULL!</v>
      </c>
      <c r="AI17" s="29" t="e">
        <v>#NULL!</v>
      </c>
      <c r="AJ17" s="29" t="e">
        <v>#NULL!</v>
      </c>
      <c r="AK17" s="29" t="e">
        <v>#NULL!</v>
      </c>
      <c r="AL17" s="29" t="e">
        <v>#NULL!</v>
      </c>
      <c r="AM17" t="s">
        <v>393</v>
      </c>
      <c r="AN17" s="28">
        <v>27</v>
      </c>
      <c r="AO17" s="29" t="e">
        <v>#NULL!</v>
      </c>
      <c r="AP17" s="29" t="e">
        <v>#NULL!</v>
      </c>
      <c r="AQ17" s="29" t="e">
        <v>#NULL!</v>
      </c>
      <c r="AS17" s="29" t="e">
        <v>#NULL!</v>
      </c>
      <c r="AT17" s="29" t="e">
        <v>#NULL!</v>
      </c>
      <c r="AU17" s="29" t="e">
        <v>#NULL!</v>
      </c>
      <c r="AV17" s="29" t="e">
        <v>#NULL!</v>
      </c>
      <c r="AW17" t="s">
        <v>393</v>
      </c>
      <c r="AX17" s="28">
        <v>22</v>
      </c>
      <c r="AY17" s="29" t="e">
        <v>#NULL!</v>
      </c>
      <c r="AZ17" s="29" t="e">
        <v>#NULL!</v>
      </c>
      <c r="BA17" s="29" t="e">
        <v>#NULL!</v>
      </c>
      <c r="BC17" s="29" t="e">
        <v>#NULL!</v>
      </c>
      <c r="BD17" s="29" t="e">
        <v>#NULL!</v>
      </c>
      <c r="BE17" s="29" t="e">
        <v>#NULL!</v>
      </c>
      <c r="BF17" s="29" t="e">
        <v>#NULL!</v>
      </c>
      <c r="BG17" t="s">
        <v>393</v>
      </c>
      <c r="BH17" s="28">
        <v>27</v>
      </c>
      <c r="BI17" s="29" t="e">
        <v>#NULL!</v>
      </c>
      <c r="BJ17" s="29" t="e">
        <v>#NULL!</v>
      </c>
      <c r="BK17" s="29" t="e">
        <v>#NULL!</v>
      </c>
      <c r="BL17" s="28">
        <v>2</v>
      </c>
      <c r="BM17" s="28">
        <v>7</v>
      </c>
      <c r="BN17" t="s">
        <v>394</v>
      </c>
      <c r="BO17" s="28">
        <v>98</v>
      </c>
      <c r="BP17" s="29" t="e">
        <v>#NULL!</v>
      </c>
      <c r="BQ17" s="29" t="e">
        <v>#NULL!</v>
      </c>
      <c r="BR17" s="29" t="e">
        <v>#NULL!</v>
      </c>
      <c r="BS17" s="28">
        <v>10</v>
      </c>
      <c r="BT17" t="s">
        <v>395</v>
      </c>
      <c r="BU17" s="28">
        <v>8</v>
      </c>
      <c r="BV17" s="29" t="e">
        <v>#NULL!</v>
      </c>
      <c r="BW17" s="29" t="e">
        <v>#NULL!</v>
      </c>
      <c r="BX17" s="29" t="e">
        <v>#NULL!</v>
      </c>
      <c r="BZ17" s="29" t="e">
        <v>#NULL!</v>
      </c>
      <c r="CA17" s="29" t="e">
        <v>#NULL!</v>
      </c>
      <c r="CB17" s="29" t="e">
        <v>#NULL!</v>
      </c>
      <c r="CC17" s="28">
        <v>3</v>
      </c>
      <c r="CD17" s="29" t="e">
        <v>#NULL!</v>
      </c>
      <c r="CE17" s="28">
        <v>1</v>
      </c>
      <c r="CF17" s="28">
        <v>1</v>
      </c>
      <c r="CG17" s="28">
        <v>1</v>
      </c>
      <c r="CH17" t="s">
        <v>394</v>
      </c>
      <c r="CI17" s="28">
        <v>98</v>
      </c>
      <c r="CJ17" s="29" t="e">
        <v>#NULL!</v>
      </c>
      <c r="CK17" s="29" t="e">
        <v>#NULL!</v>
      </c>
      <c r="CL17" s="28">
        <v>7</v>
      </c>
      <c r="CM17" t="s">
        <v>396</v>
      </c>
      <c r="CN17" s="28">
        <v>99</v>
      </c>
      <c r="CO17" s="29" t="e">
        <v>#NULL!</v>
      </c>
      <c r="CP17" s="29" t="e">
        <v>#NULL!</v>
      </c>
      <c r="CQ17" s="28">
        <v>2</v>
      </c>
      <c r="CR17" s="29" t="e">
        <v>#NULL!</v>
      </c>
      <c r="CS17" s="28">
        <v>8</v>
      </c>
      <c r="CT17" s="28">
        <v>8</v>
      </c>
      <c r="CU17" s="28">
        <v>8</v>
      </c>
      <c r="CV17" s="28">
        <v>8</v>
      </c>
      <c r="CW17" s="28">
        <v>8</v>
      </c>
      <c r="CX17" s="28">
        <v>8</v>
      </c>
      <c r="CY17" s="28">
        <v>8</v>
      </c>
      <c r="DA17" s="29" t="e">
        <v>#NULL!</v>
      </c>
      <c r="DB17" s="29" t="e">
        <v>#NULL!</v>
      </c>
      <c r="DC17" s="28">
        <v>6</v>
      </c>
      <c r="DD17" s="28">
        <v>0</v>
      </c>
      <c r="DE17" s="28">
        <v>0</v>
      </c>
      <c r="DF17" s="28">
        <v>1</v>
      </c>
      <c r="DG17" s="28">
        <v>0</v>
      </c>
      <c r="DH17" s="28">
        <v>0</v>
      </c>
      <c r="DI17" s="28">
        <v>0</v>
      </c>
      <c r="DJ17" s="28">
        <v>0</v>
      </c>
      <c r="DK17" s="28">
        <v>0</v>
      </c>
      <c r="DL17" s="28">
        <v>0</v>
      </c>
      <c r="DN17" s="28">
        <v>1</v>
      </c>
      <c r="DP17" s="29" t="e">
        <v>#NULL!</v>
      </c>
      <c r="DQ17" s="29" t="e">
        <v>#NULL!</v>
      </c>
      <c r="DR17" s="29" t="e">
        <v>#NULL!</v>
      </c>
      <c r="DT17" s="29" t="e">
        <v>#NULL!</v>
      </c>
      <c r="DU17" s="29" t="e">
        <v>#NULL!</v>
      </c>
      <c r="DV17" s="29" t="e">
        <v>#NULL!</v>
      </c>
      <c r="DW17" s="28">
        <v>2</v>
      </c>
      <c r="DX17" s="28">
        <v>2</v>
      </c>
      <c r="DZ17" s="29" t="e">
        <v>#NULL!</v>
      </c>
      <c r="EA17" s="29" t="e">
        <v>#NULL!</v>
      </c>
      <c r="EI17" s="29" t="e">
        <v>#NULL!</v>
      </c>
      <c r="EJ17" s="29" t="e">
        <v>#NULL!</v>
      </c>
      <c r="EK17" s="29" t="e">
        <v>#NULL!</v>
      </c>
      <c r="EL17" s="29" t="e">
        <v>#NULL!</v>
      </c>
      <c r="EM17" s="28">
        <v>10</v>
      </c>
      <c r="EN17" s="28">
        <v>1</v>
      </c>
      <c r="EP17" s="28">
        <v>5</v>
      </c>
      <c r="EQ17" s="28">
        <v>5</v>
      </c>
      <c r="ER17" s="28">
        <v>2</v>
      </c>
      <c r="ES17" s="28">
        <v>78749</v>
      </c>
      <c r="ET17" s="28">
        <v>2</v>
      </c>
      <c r="EU17" s="28">
        <v>5</v>
      </c>
      <c r="EV17" s="28">
        <v>2</v>
      </c>
      <c r="EW17" s="28">
        <v>5</v>
      </c>
      <c r="EX17" s="28">
        <v>2</v>
      </c>
      <c r="EY17" t="s">
        <v>397</v>
      </c>
      <c r="EZ17" t="s">
        <v>398</v>
      </c>
      <c r="FB17" t="s">
        <v>399</v>
      </c>
      <c r="FC17" t="s">
        <v>400</v>
      </c>
      <c r="FD17" s="29" t="e">
        <v>#NULL!</v>
      </c>
      <c r="FE17" s="29" t="e">
        <v>#NULL!</v>
      </c>
      <c r="FF17" s="28">
        <v>2</v>
      </c>
      <c r="FH17" t="s">
        <v>401</v>
      </c>
      <c r="FI17" t="s">
        <v>402</v>
      </c>
    </row>
    <row r="18" spans="1:165" x14ac:dyDescent="0.15">
      <c r="A18" s="28">
        <v>103</v>
      </c>
      <c r="B18" s="28">
        <v>1</v>
      </c>
      <c r="C18" s="28">
        <v>2</v>
      </c>
      <c r="D18" s="28">
        <v>1</v>
      </c>
      <c r="E18" s="29" t="e">
        <v>#NULL!</v>
      </c>
      <c r="F18" s="28">
        <v>2</v>
      </c>
      <c r="G18" s="28">
        <v>2</v>
      </c>
      <c r="H18" s="28">
        <v>3</v>
      </c>
      <c r="J18" s="28">
        <v>1</v>
      </c>
      <c r="K18" s="28">
        <v>1</v>
      </c>
      <c r="P18" s="29" t="e">
        <v>#NULL!</v>
      </c>
      <c r="Q18" s="29" t="e">
        <v>#NULL!</v>
      </c>
      <c r="R18" s="29" t="e">
        <v>#NULL!</v>
      </c>
      <c r="S18" s="28">
        <v>10</v>
      </c>
      <c r="T18" s="28">
        <v>10</v>
      </c>
      <c r="U18" s="28">
        <v>10</v>
      </c>
      <c r="V18" s="28">
        <v>10</v>
      </c>
      <c r="W18" s="28">
        <v>10</v>
      </c>
      <c r="Y18" s="29" t="e">
        <v>#NULL!</v>
      </c>
      <c r="Z18" s="29" t="e">
        <v>#NULL!</v>
      </c>
      <c r="AA18" s="29" t="e">
        <v>#NULL!</v>
      </c>
      <c r="AB18" s="29" t="e">
        <v>#NULL!</v>
      </c>
      <c r="AC18" t="s">
        <v>248</v>
      </c>
      <c r="AD18" s="29" t="e">
        <v>#NULL!</v>
      </c>
      <c r="AE18" s="29" t="e">
        <v>#NULL!</v>
      </c>
      <c r="AF18" s="29" t="e">
        <v>#NULL!</v>
      </c>
      <c r="AG18" s="29" t="e">
        <v>#NULL!</v>
      </c>
      <c r="AI18" s="29" t="e">
        <v>#NULL!</v>
      </c>
      <c r="AJ18" s="29" t="e">
        <v>#NULL!</v>
      </c>
      <c r="AK18" s="29" t="e">
        <v>#NULL!</v>
      </c>
      <c r="AL18" s="29" t="e">
        <v>#NULL!</v>
      </c>
      <c r="AM18" t="s">
        <v>248</v>
      </c>
      <c r="AN18" s="29" t="e">
        <v>#NULL!</v>
      </c>
      <c r="AO18" s="29" t="e">
        <v>#NULL!</v>
      </c>
      <c r="AP18" s="29" t="e">
        <v>#NULL!</v>
      </c>
      <c r="AQ18" s="29" t="e">
        <v>#NULL!</v>
      </c>
      <c r="AS18" s="29" t="e">
        <v>#NULL!</v>
      </c>
      <c r="AT18" s="29" t="e">
        <v>#NULL!</v>
      </c>
      <c r="AU18" s="29" t="e">
        <v>#NULL!</v>
      </c>
      <c r="AV18" s="29" t="e">
        <v>#NULL!</v>
      </c>
      <c r="AW18" t="s">
        <v>248</v>
      </c>
      <c r="AX18" s="29" t="e">
        <v>#NULL!</v>
      </c>
      <c r="AY18" s="29" t="e">
        <v>#NULL!</v>
      </c>
      <c r="AZ18" s="29" t="e">
        <v>#NULL!</v>
      </c>
      <c r="BA18" s="29" t="e">
        <v>#NULL!</v>
      </c>
      <c r="BC18" s="29" t="e">
        <v>#NULL!</v>
      </c>
      <c r="BD18" s="29" t="e">
        <v>#NULL!</v>
      </c>
      <c r="BE18" s="29" t="e">
        <v>#NULL!</v>
      </c>
      <c r="BF18" s="29" t="e">
        <v>#NULL!</v>
      </c>
      <c r="BG18" t="s">
        <v>248</v>
      </c>
      <c r="BH18" s="29" t="e">
        <v>#NULL!</v>
      </c>
      <c r="BI18" s="29" t="e">
        <v>#NULL!</v>
      </c>
      <c r="BJ18" s="29" t="e">
        <v>#NULL!</v>
      </c>
      <c r="BK18" s="29" t="e">
        <v>#NULL!</v>
      </c>
      <c r="BL18" s="28">
        <v>2</v>
      </c>
      <c r="BM18" s="28">
        <v>2</v>
      </c>
      <c r="BN18" t="s">
        <v>303</v>
      </c>
      <c r="BO18" s="28">
        <v>98</v>
      </c>
      <c r="BP18" s="29" t="e">
        <v>#NULL!</v>
      </c>
      <c r="BQ18" s="29" t="e">
        <v>#NULL!</v>
      </c>
      <c r="BR18" s="29" t="e">
        <v>#NULL!</v>
      </c>
      <c r="BS18" s="28">
        <v>1</v>
      </c>
      <c r="BT18" t="s">
        <v>403</v>
      </c>
      <c r="BU18" s="28">
        <v>98</v>
      </c>
      <c r="BV18" s="29" t="e">
        <v>#NULL!</v>
      </c>
      <c r="BW18" s="29" t="e">
        <v>#NULL!</v>
      </c>
      <c r="BX18" s="29" t="e">
        <v>#NULL!</v>
      </c>
      <c r="BZ18" s="29" t="e">
        <v>#NULL!</v>
      </c>
      <c r="CA18" s="29" t="e">
        <v>#NULL!</v>
      </c>
      <c r="CB18" s="29" t="e">
        <v>#NULL!</v>
      </c>
      <c r="CC18" s="28">
        <v>2</v>
      </c>
      <c r="CD18" s="29" t="e">
        <v>#NULL!</v>
      </c>
      <c r="CE18" s="28">
        <v>1</v>
      </c>
      <c r="CF18" s="28">
        <v>1</v>
      </c>
      <c r="CG18" s="28">
        <v>1</v>
      </c>
      <c r="CH18" t="s">
        <v>303</v>
      </c>
      <c r="CI18" s="28">
        <v>98</v>
      </c>
      <c r="CJ18" s="29" t="e">
        <v>#NULL!</v>
      </c>
      <c r="CK18" s="29" t="e">
        <v>#NULL!</v>
      </c>
      <c r="CL18" s="28">
        <v>10</v>
      </c>
      <c r="CN18" s="29" t="e">
        <v>#NULL!</v>
      </c>
      <c r="CO18" s="29" t="e">
        <v>#NULL!</v>
      </c>
      <c r="CP18" s="29" t="e">
        <v>#NULL!</v>
      </c>
      <c r="CQ18" s="28">
        <v>2</v>
      </c>
      <c r="CR18" s="29" t="e">
        <v>#NULL!</v>
      </c>
      <c r="CS18" s="28">
        <v>10</v>
      </c>
      <c r="CT18" s="28">
        <v>10</v>
      </c>
      <c r="CU18" s="28">
        <v>10</v>
      </c>
      <c r="CV18" s="28">
        <v>10</v>
      </c>
      <c r="CW18" s="28">
        <v>10</v>
      </c>
      <c r="CX18" s="28">
        <v>10</v>
      </c>
      <c r="CY18" s="28">
        <v>10</v>
      </c>
      <c r="DA18" s="29" t="e">
        <v>#NULL!</v>
      </c>
      <c r="DB18" s="29" t="e">
        <v>#NULL!</v>
      </c>
      <c r="DC18" s="28">
        <v>10</v>
      </c>
      <c r="DD18" s="29" t="e">
        <v>#NULL!</v>
      </c>
      <c r="DE18" s="29" t="e">
        <v>#NULL!</v>
      </c>
      <c r="DF18" s="29" t="e">
        <v>#NULL!</v>
      </c>
      <c r="DG18" s="29" t="e">
        <v>#NULL!</v>
      </c>
      <c r="DH18" s="29" t="e">
        <v>#NULL!</v>
      </c>
      <c r="DI18" s="29" t="e">
        <v>#NULL!</v>
      </c>
      <c r="DJ18" s="29" t="e">
        <v>#NULL!</v>
      </c>
      <c r="DK18" s="29" t="e">
        <v>#NULL!</v>
      </c>
      <c r="DL18" s="29" t="e">
        <v>#NULL!</v>
      </c>
      <c r="DN18" s="28">
        <v>1</v>
      </c>
      <c r="DP18" s="29" t="e">
        <v>#NULL!</v>
      </c>
      <c r="DQ18" s="29" t="e">
        <v>#NULL!</v>
      </c>
      <c r="DR18" s="29" t="e">
        <v>#NULL!</v>
      </c>
      <c r="DT18" s="29" t="e">
        <v>#NULL!</v>
      </c>
      <c r="DU18" s="29" t="e">
        <v>#NULL!</v>
      </c>
      <c r="DV18" s="29" t="e">
        <v>#NULL!</v>
      </c>
      <c r="DW18" s="28">
        <v>3</v>
      </c>
      <c r="DX18" s="28">
        <v>2</v>
      </c>
      <c r="DZ18" s="29" t="e">
        <v>#NULL!</v>
      </c>
      <c r="EA18" s="29" t="e">
        <v>#NULL!</v>
      </c>
      <c r="EI18" s="29" t="e">
        <v>#NULL!</v>
      </c>
      <c r="EJ18" s="29" t="e">
        <v>#NULL!</v>
      </c>
      <c r="EK18" s="29" t="e">
        <v>#NULL!</v>
      </c>
      <c r="EL18" s="29" t="e">
        <v>#NULL!</v>
      </c>
      <c r="EM18" s="28">
        <v>8</v>
      </c>
      <c r="EN18" s="28">
        <v>1</v>
      </c>
      <c r="EP18" s="28">
        <v>1</v>
      </c>
      <c r="EQ18" s="28">
        <v>1</v>
      </c>
      <c r="ER18" s="28">
        <v>2</v>
      </c>
      <c r="ES18" s="28">
        <v>78759</v>
      </c>
      <c r="ET18" s="28">
        <v>4</v>
      </c>
      <c r="EU18" s="28">
        <v>4</v>
      </c>
      <c r="EV18" s="28">
        <v>6</v>
      </c>
      <c r="EW18" s="28">
        <v>5</v>
      </c>
      <c r="EX18" s="28">
        <v>1</v>
      </c>
      <c r="EY18" t="s">
        <v>404</v>
      </c>
      <c r="EZ18" t="s">
        <v>405</v>
      </c>
      <c r="FB18" t="s">
        <v>406</v>
      </c>
      <c r="FC18" t="s">
        <v>407</v>
      </c>
      <c r="FD18" s="29" t="e">
        <v>#NULL!</v>
      </c>
      <c r="FE18" s="29" t="e">
        <v>#NULL!</v>
      </c>
      <c r="FF18" s="28">
        <v>1</v>
      </c>
      <c r="FH18" t="s">
        <v>408</v>
      </c>
      <c r="FI18" t="s">
        <v>409</v>
      </c>
    </row>
    <row r="19" spans="1:165" x14ac:dyDescent="0.15">
      <c r="A19" s="28">
        <v>106</v>
      </c>
      <c r="B19" s="28">
        <v>1</v>
      </c>
      <c r="C19" s="28">
        <v>2</v>
      </c>
      <c r="D19" s="28">
        <v>1</v>
      </c>
      <c r="E19" s="29" t="e">
        <v>#NULL!</v>
      </c>
      <c r="F19" s="28">
        <v>2</v>
      </c>
      <c r="G19" s="28">
        <v>2</v>
      </c>
      <c r="H19" s="28">
        <v>2</v>
      </c>
      <c r="J19" s="28">
        <v>1</v>
      </c>
      <c r="K19" s="28">
        <v>3</v>
      </c>
      <c r="P19" s="29" t="e">
        <v>#NULL!</v>
      </c>
      <c r="Q19" s="29" t="e">
        <v>#NULL!</v>
      </c>
      <c r="R19" s="29" t="e">
        <v>#NULL!</v>
      </c>
      <c r="S19" s="29" t="e">
        <v>#NULL!</v>
      </c>
      <c r="T19" s="28">
        <v>6</v>
      </c>
      <c r="U19" s="28">
        <v>7</v>
      </c>
      <c r="V19" s="28">
        <v>7</v>
      </c>
      <c r="W19" s="28">
        <v>6</v>
      </c>
      <c r="Y19" s="29" t="e">
        <v>#NULL!</v>
      </c>
      <c r="Z19" s="29" t="e">
        <v>#NULL!</v>
      </c>
      <c r="AA19" s="29" t="e">
        <v>#NULL!</v>
      </c>
      <c r="AB19" s="29" t="e">
        <v>#NULL!</v>
      </c>
      <c r="AD19" s="29" t="e">
        <v>#NULL!</v>
      </c>
      <c r="AE19" s="29" t="e">
        <v>#NULL!</v>
      </c>
      <c r="AF19" s="29" t="e">
        <v>#NULL!</v>
      </c>
      <c r="AG19" s="29" t="e">
        <v>#NULL!</v>
      </c>
      <c r="AI19" s="29" t="e">
        <v>#NULL!</v>
      </c>
      <c r="AJ19" s="29" t="e">
        <v>#NULL!</v>
      </c>
      <c r="AK19" s="29" t="e">
        <v>#NULL!</v>
      </c>
      <c r="AL19" s="29" t="e">
        <v>#NULL!</v>
      </c>
      <c r="AN19" s="29" t="e">
        <v>#NULL!</v>
      </c>
      <c r="AO19" s="29" t="e">
        <v>#NULL!</v>
      </c>
      <c r="AP19" s="29" t="e">
        <v>#NULL!</v>
      </c>
      <c r="AQ19" s="29" t="e">
        <v>#NULL!</v>
      </c>
      <c r="AS19" s="29" t="e">
        <v>#NULL!</v>
      </c>
      <c r="AT19" s="29" t="e">
        <v>#NULL!</v>
      </c>
      <c r="AU19" s="29" t="e">
        <v>#NULL!</v>
      </c>
      <c r="AV19" s="29" t="e">
        <v>#NULL!</v>
      </c>
      <c r="AX19" s="29" t="e">
        <v>#NULL!</v>
      </c>
      <c r="AY19" s="29" t="e">
        <v>#NULL!</v>
      </c>
      <c r="AZ19" s="29" t="e">
        <v>#NULL!</v>
      </c>
      <c r="BA19" s="29" t="e">
        <v>#NULL!</v>
      </c>
      <c r="BC19" s="29" t="e">
        <v>#NULL!</v>
      </c>
      <c r="BD19" s="29" t="e">
        <v>#NULL!</v>
      </c>
      <c r="BE19" s="29" t="e">
        <v>#NULL!</v>
      </c>
      <c r="BF19" s="29" t="e">
        <v>#NULL!</v>
      </c>
      <c r="BH19" s="29" t="e">
        <v>#NULL!</v>
      </c>
      <c r="BI19" s="29" t="e">
        <v>#NULL!</v>
      </c>
      <c r="BJ19" s="29" t="e">
        <v>#NULL!</v>
      </c>
      <c r="BK19" s="29" t="e">
        <v>#NULL!</v>
      </c>
      <c r="BL19" s="28">
        <v>2</v>
      </c>
      <c r="BM19" s="28">
        <v>6</v>
      </c>
      <c r="BN19" t="s">
        <v>410</v>
      </c>
      <c r="BO19" s="28">
        <v>6</v>
      </c>
      <c r="BP19" s="29" t="e">
        <v>#NULL!</v>
      </c>
      <c r="BQ19" s="29" t="e">
        <v>#NULL!</v>
      </c>
      <c r="BR19" s="29" t="e">
        <v>#NULL!</v>
      </c>
      <c r="BS19" s="28">
        <v>8</v>
      </c>
      <c r="BT19" t="s">
        <v>411</v>
      </c>
      <c r="BU19" s="28">
        <v>2</v>
      </c>
      <c r="BV19" s="29" t="e">
        <v>#NULL!</v>
      </c>
      <c r="BW19" s="29" t="e">
        <v>#NULL!</v>
      </c>
      <c r="BX19" s="29" t="e">
        <v>#NULL!</v>
      </c>
      <c r="BZ19" s="29" t="e">
        <v>#NULL!</v>
      </c>
      <c r="CA19" s="29" t="e">
        <v>#NULL!</v>
      </c>
      <c r="CB19" s="29" t="e">
        <v>#NULL!</v>
      </c>
      <c r="CC19" s="28">
        <v>2</v>
      </c>
      <c r="CD19" s="29" t="e">
        <v>#NULL!</v>
      </c>
      <c r="CE19" s="28">
        <v>2</v>
      </c>
      <c r="CF19" s="29" t="e">
        <v>#NULL!</v>
      </c>
      <c r="CG19" s="29" t="e">
        <v>#NULL!</v>
      </c>
      <c r="CI19" s="29" t="e">
        <v>#NULL!</v>
      </c>
      <c r="CJ19" s="29" t="e">
        <v>#NULL!</v>
      </c>
      <c r="CK19" s="29" t="e">
        <v>#NULL!</v>
      </c>
      <c r="CL19" s="29" t="e">
        <v>#NULL!</v>
      </c>
      <c r="CN19" s="29" t="e">
        <v>#NULL!</v>
      </c>
      <c r="CO19" s="29" t="e">
        <v>#NULL!</v>
      </c>
      <c r="CP19" s="29" t="e">
        <v>#NULL!</v>
      </c>
      <c r="CQ19" s="28">
        <v>2</v>
      </c>
      <c r="CR19" s="29" t="e">
        <v>#NULL!</v>
      </c>
      <c r="CS19" s="28">
        <v>7</v>
      </c>
      <c r="CT19" s="28">
        <v>7</v>
      </c>
      <c r="CU19" s="28">
        <v>6</v>
      </c>
      <c r="CV19" s="28">
        <v>6</v>
      </c>
      <c r="CW19" s="28">
        <v>6</v>
      </c>
      <c r="CX19" s="28">
        <v>7</v>
      </c>
      <c r="CY19" s="28">
        <v>7</v>
      </c>
      <c r="CZ19" t="s">
        <v>412</v>
      </c>
      <c r="DA19" s="28">
        <v>4</v>
      </c>
      <c r="DB19" s="29" t="e">
        <v>#NULL!</v>
      </c>
      <c r="DC19" s="28">
        <v>10</v>
      </c>
      <c r="DD19" s="29" t="e">
        <v>#NULL!</v>
      </c>
      <c r="DE19" s="29" t="e">
        <v>#NULL!</v>
      </c>
      <c r="DF19" s="29" t="e">
        <v>#NULL!</v>
      </c>
      <c r="DG19" s="29" t="e">
        <v>#NULL!</v>
      </c>
      <c r="DH19" s="29" t="e">
        <v>#NULL!</v>
      </c>
      <c r="DI19" s="29" t="e">
        <v>#NULL!</v>
      </c>
      <c r="DJ19" s="29" t="e">
        <v>#NULL!</v>
      </c>
      <c r="DK19" s="29" t="e">
        <v>#NULL!</v>
      </c>
      <c r="DL19" s="29" t="e">
        <v>#NULL!</v>
      </c>
      <c r="DN19" s="28">
        <v>1</v>
      </c>
      <c r="DP19" s="29" t="e">
        <v>#NULL!</v>
      </c>
      <c r="DQ19" s="29" t="e">
        <v>#NULL!</v>
      </c>
      <c r="DR19" s="29" t="e">
        <v>#NULL!</v>
      </c>
      <c r="DT19" s="29" t="e">
        <v>#NULL!</v>
      </c>
      <c r="DU19" s="29" t="e">
        <v>#NULL!</v>
      </c>
      <c r="DV19" s="29" t="e">
        <v>#NULL!</v>
      </c>
      <c r="DW19" s="28">
        <v>1</v>
      </c>
      <c r="DX19" s="28">
        <v>2</v>
      </c>
      <c r="DZ19" s="29" t="e">
        <v>#NULL!</v>
      </c>
      <c r="EA19" s="29" t="e">
        <v>#NULL!</v>
      </c>
      <c r="EI19" s="29" t="e">
        <v>#NULL!</v>
      </c>
      <c r="EJ19" s="29" t="e">
        <v>#NULL!</v>
      </c>
      <c r="EK19" s="29" t="e">
        <v>#NULL!</v>
      </c>
      <c r="EL19" s="29" t="e">
        <v>#NULL!</v>
      </c>
      <c r="EM19" s="28">
        <v>6</v>
      </c>
      <c r="EN19" s="28">
        <v>3</v>
      </c>
      <c r="EP19" s="28">
        <v>1</v>
      </c>
      <c r="EQ19" s="28">
        <v>2</v>
      </c>
      <c r="ER19" s="28">
        <v>1</v>
      </c>
      <c r="ES19" s="28">
        <v>78758</v>
      </c>
      <c r="ET19" s="28">
        <v>2</v>
      </c>
      <c r="EU19" s="28">
        <v>5</v>
      </c>
      <c r="EV19" s="28">
        <v>5</v>
      </c>
      <c r="EW19" s="28">
        <v>5</v>
      </c>
      <c r="EX19" s="28">
        <v>1</v>
      </c>
      <c r="EY19" t="s">
        <v>413</v>
      </c>
      <c r="EZ19" t="s">
        <v>414</v>
      </c>
      <c r="FB19" t="s">
        <v>415</v>
      </c>
      <c r="FC19" t="s">
        <v>416</v>
      </c>
      <c r="FD19" s="29" t="e">
        <v>#NULL!</v>
      </c>
      <c r="FE19" s="29" t="e">
        <v>#NULL!</v>
      </c>
      <c r="FF19" s="28">
        <v>1</v>
      </c>
      <c r="FH19" t="s">
        <v>417</v>
      </c>
      <c r="FI19" t="s">
        <v>418</v>
      </c>
    </row>
    <row r="20" spans="1:165" x14ac:dyDescent="0.15">
      <c r="A20" s="28">
        <v>119</v>
      </c>
      <c r="B20" s="28">
        <v>1</v>
      </c>
      <c r="C20" s="28">
        <v>2</v>
      </c>
      <c r="D20" s="28">
        <v>1</v>
      </c>
      <c r="E20" s="29" t="e">
        <v>#NULL!</v>
      </c>
      <c r="F20" s="28">
        <v>2</v>
      </c>
      <c r="G20" s="28">
        <v>2</v>
      </c>
      <c r="H20" s="28">
        <v>2</v>
      </c>
      <c r="J20" s="28">
        <v>1</v>
      </c>
      <c r="K20" s="28">
        <v>18</v>
      </c>
      <c r="P20" s="29" t="e">
        <v>#NULL!</v>
      </c>
      <c r="Q20" s="29" t="e">
        <v>#NULL!</v>
      </c>
      <c r="R20" s="29" t="e">
        <v>#NULL!</v>
      </c>
      <c r="S20" s="29" t="e">
        <v>#NULL!</v>
      </c>
      <c r="T20" s="28">
        <v>8</v>
      </c>
      <c r="U20" s="28">
        <v>10</v>
      </c>
      <c r="V20" s="28">
        <v>10</v>
      </c>
      <c r="W20" s="28">
        <v>10</v>
      </c>
      <c r="Y20" s="29" t="e">
        <v>#NULL!</v>
      </c>
      <c r="Z20" s="29" t="e">
        <v>#NULL!</v>
      </c>
      <c r="AA20" s="29" t="e">
        <v>#NULL!</v>
      </c>
      <c r="AB20" s="29" t="e">
        <v>#NULL!</v>
      </c>
      <c r="AC20" t="s">
        <v>419</v>
      </c>
      <c r="AD20" s="28">
        <v>3</v>
      </c>
      <c r="AE20" s="29" t="e">
        <v>#NULL!</v>
      </c>
      <c r="AF20" s="29" t="e">
        <v>#NULL!</v>
      </c>
      <c r="AG20" s="29" t="e">
        <v>#NULL!</v>
      </c>
      <c r="AI20" s="29" t="e">
        <v>#NULL!</v>
      </c>
      <c r="AJ20" s="29" t="e">
        <v>#NULL!</v>
      </c>
      <c r="AK20" s="29" t="e">
        <v>#NULL!</v>
      </c>
      <c r="AL20" s="29" t="e">
        <v>#NULL!</v>
      </c>
      <c r="AM20" t="s">
        <v>420</v>
      </c>
      <c r="AN20" s="28">
        <v>25</v>
      </c>
      <c r="AO20" s="29" t="e">
        <v>#NULL!</v>
      </c>
      <c r="AP20" s="29" t="e">
        <v>#NULL!</v>
      </c>
      <c r="AQ20" s="29" t="e">
        <v>#NULL!</v>
      </c>
      <c r="AS20" s="29" t="e">
        <v>#NULL!</v>
      </c>
      <c r="AT20" s="29" t="e">
        <v>#NULL!</v>
      </c>
      <c r="AU20" s="29" t="e">
        <v>#NULL!</v>
      </c>
      <c r="AV20" s="29" t="e">
        <v>#NULL!</v>
      </c>
      <c r="AW20" t="s">
        <v>421</v>
      </c>
      <c r="AX20" s="28">
        <v>24</v>
      </c>
      <c r="AY20" s="29" t="e">
        <v>#NULL!</v>
      </c>
      <c r="AZ20" s="29" t="e">
        <v>#NULL!</v>
      </c>
      <c r="BA20" s="29" t="e">
        <v>#NULL!</v>
      </c>
      <c r="BC20" s="29" t="e">
        <v>#NULL!</v>
      </c>
      <c r="BD20" s="29" t="e">
        <v>#NULL!</v>
      </c>
      <c r="BE20" s="29" t="e">
        <v>#NULL!</v>
      </c>
      <c r="BF20" s="29" t="e">
        <v>#NULL!</v>
      </c>
      <c r="BG20" t="s">
        <v>422</v>
      </c>
      <c r="BH20" s="28">
        <v>28</v>
      </c>
      <c r="BI20" s="29" t="e">
        <v>#NULL!</v>
      </c>
      <c r="BJ20" s="29" t="e">
        <v>#NULL!</v>
      </c>
      <c r="BK20" s="29" t="e">
        <v>#NULL!</v>
      </c>
      <c r="BL20" s="28">
        <v>2</v>
      </c>
      <c r="BM20" s="28">
        <v>8</v>
      </c>
      <c r="BN20" t="s">
        <v>423</v>
      </c>
      <c r="BO20" s="28">
        <v>98</v>
      </c>
      <c r="BP20" s="29" t="e">
        <v>#NULL!</v>
      </c>
      <c r="BQ20" s="29" t="e">
        <v>#NULL!</v>
      </c>
      <c r="BR20" s="29" t="e">
        <v>#NULL!</v>
      </c>
      <c r="BS20" s="28">
        <v>11</v>
      </c>
      <c r="BT20" t="s">
        <v>423</v>
      </c>
      <c r="BU20" s="28">
        <v>98</v>
      </c>
      <c r="BV20" s="29" t="e">
        <v>#NULL!</v>
      </c>
      <c r="BW20" s="29" t="e">
        <v>#NULL!</v>
      </c>
      <c r="BX20" s="29" t="e">
        <v>#NULL!</v>
      </c>
      <c r="BZ20" s="29" t="e">
        <v>#NULL!</v>
      </c>
      <c r="CA20" s="29" t="e">
        <v>#NULL!</v>
      </c>
      <c r="CB20" s="29" t="e">
        <v>#NULL!</v>
      </c>
      <c r="CC20" s="28">
        <v>1</v>
      </c>
      <c r="CD20" s="28">
        <v>10</v>
      </c>
      <c r="CE20" s="28">
        <v>2</v>
      </c>
      <c r="CF20" s="29" t="e">
        <v>#NULL!</v>
      </c>
      <c r="CG20" s="29" t="e">
        <v>#NULL!</v>
      </c>
      <c r="CI20" s="29" t="e">
        <v>#NULL!</v>
      </c>
      <c r="CJ20" s="29" t="e">
        <v>#NULL!</v>
      </c>
      <c r="CK20" s="29" t="e">
        <v>#NULL!</v>
      </c>
      <c r="CL20" s="29" t="e">
        <v>#NULL!</v>
      </c>
      <c r="CN20" s="29" t="e">
        <v>#NULL!</v>
      </c>
      <c r="CO20" s="29" t="e">
        <v>#NULL!</v>
      </c>
      <c r="CP20" s="29" t="e">
        <v>#NULL!</v>
      </c>
      <c r="CQ20" s="28">
        <v>2</v>
      </c>
      <c r="CR20" s="29" t="e">
        <v>#NULL!</v>
      </c>
      <c r="CS20" s="28">
        <v>10</v>
      </c>
      <c r="CT20" s="28">
        <v>10</v>
      </c>
      <c r="CU20" s="28">
        <v>10</v>
      </c>
      <c r="CV20" s="28">
        <v>10</v>
      </c>
      <c r="CW20" s="28">
        <v>10</v>
      </c>
      <c r="CX20" s="28">
        <v>10</v>
      </c>
      <c r="CY20" s="28">
        <v>10</v>
      </c>
      <c r="DA20" s="29" t="e">
        <v>#NULL!</v>
      </c>
      <c r="DB20" s="29" t="e">
        <v>#NULL!</v>
      </c>
      <c r="DC20" s="28">
        <v>10</v>
      </c>
      <c r="DD20" s="29" t="e">
        <v>#NULL!</v>
      </c>
      <c r="DE20" s="29" t="e">
        <v>#NULL!</v>
      </c>
      <c r="DF20" s="29" t="e">
        <v>#NULL!</v>
      </c>
      <c r="DG20" s="29" t="e">
        <v>#NULL!</v>
      </c>
      <c r="DH20" s="29" t="e">
        <v>#NULL!</v>
      </c>
      <c r="DI20" s="29" t="e">
        <v>#NULL!</v>
      </c>
      <c r="DJ20" s="29" t="e">
        <v>#NULL!</v>
      </c>
      <c r="DK20" s="29" t="e">
        <v>#NULL!</v>
      </c>
      <c r="DL20" s="29" t="e">
        <v>#NULL!</v>
      </c>
      <c r="DN20" s="28">
        <v>1</v>
      </c>
      <c r="DP20" s="29" t="e">
        <v>#NULL!</v>
      </c>
      <c r="DQ20" s="29" t="e">
        <v>#NULL!</v>
      </c>
      <c r="DR20" s="29" t="e">
        <v>#NULL!</v>
      </c>
      <c r="DT20" s="29" t="e">
        <v>#NULL!</v>
      </c>
      <c r="DU20" s="29" t="e">
        <v>#NULL!</v>
      </c>
      <c r="DV20" s="29" t="e">
        <v>#NULL!</v>
      </c>
      <c r="DW20" s="28">
        <v>2</v>
      </c>
      <c r="DX20" s="28">
        <v>2</v>
      </c>
      <c r="DZ20" s="29" t="e">
        <v>#NULL!</v>
      </c>
      <c r="EA20" s="29" t="e">
        <v>#NULL!</v>
      </c>
      <c r="EI20" s="29" t="e">
        <v>#NULL!</v>
      </c>
      <c r="EJ20" s="29" t="e">
        <v>#NULL!</v>
      </c>
      <c r="EK20" s="29" t="e">
        <v>#NULL!</v>
      </c>
      <c r="EL20" s="29" t="e">
        <v>#NULL!</v>
      </c>
      <c r="EM20" s="28">
        <v>4</v>
      </c>
      <c r="EN20" s="28">
        <v>3</v>
      </c>
      <c r="EP20" s="28">
        <v>1</v>
      </c>
      <c r="EQ20" s="28">
        <v>3</v>
      </c>
      <c r="ER20" s="28">
        <v>1</v>
      </c>
      <c r="ES20" s="28">
        <v>78741</v>
      </c>
      <c r="ET20" s="28">
        <v>2</v>
      </c>
      <c r="EU20" s="28">
        <v>4</v>
      </c>
      <c r="EV20" s="28">
        <v>3</v>
      </c>
      <c r="EW20" s="28">
        <v>4</v>
      </c>
      <c r="EX20" s="28">
        <v>2</v>
      </c>
      <c r="EY20" t="s">
        <v>424</v>
      </c>
      <c r="EZ20" t="s">
        <v>425</v>
      </c>
      <c r="FB20" t="s">
        <v>426</v>
      </c>
      <c r="FC20" t="s">
        <v>427</v>
      </c>
      <c r="FD20" s="29" t="e">
        <v>#NULL!</v>
      </c>
      <c r="FE20" s="29" t="e">
        <v>#NULL!</v>
      </c>
      <c r="FF20" s="28">
        <v>2</v>
      </c>
      <c r="FH20" t="s">
        <v>428</v>
      </c>
      <c r="FI20" t="s">
        <v>429</v>
      </c>
    </row>
    <row r="21" spans="1:165" x14ac:dyDescent="0.15">
      <c r="A21" s="28">
        <v>120</v>
      </c>
      <c r="B21" s="28">
        <v>1</v>
      </c>
      <c r="C21" s="28">
        <v>2</v>
      </c>
      <c r="D21" s="28">
        <v>1</v>
      </c>
      <c r="E21" s="29" t="e">
        <v>#NULL!</v>
      </c>
      <c r="F21" s="28">
        <v>2</v>
      </c>
      <c r="G21" s="28">
        <v>2</v>
      </c>
      <c r="H21" s="28">
        <v>2</v>
      </c>
      <c r="J21" s="28">
        <v>1</v>
      </c>
      <c r="K21" s="28">
        <v>3</v>
      </c>
      <c r="P21" s="29" t="e">
        <v>#NULL!</v>
      </c>
      <c r="Q21" s="29" t="e">
        <v>#NULL!</v>
      </c>
      <c r="R21" s="29" t="e">
        <v>#NULL!</v>
      </c>
      <c r="S21" s="29" t="e">
        <v>#NULL!</v>
      </c>
      <c r="T21" s="28">
        <v>4</v>
      </c>
      <c r="U21" s="28">
        <v>3</v>
      </c>
      <c r="V21" s="28">
        <v>5</v>
      </c>
      <c r="W21" s="28">
        <v>5</v>
      </c>
      <c r="Y21" s="29" t="e">
        <v>#NULL!</v>
      </c>
      <c r="Z21" s="29" t="e">
        <v>#NULL!</v>
      </c>
      <c r="AA21" s="29" t="e">
        <v>#NULL!</v>
      </c>
      <c r="AB21" s="29" t="e">
        <v>#NULL!</v>
      </c>
      <c r="AD21" s="29" t="e">
        <v>#NULL!</v>
      </c>
      <c r="AE21" s="29" t="e">
        <v>#NULL!</v>
      </c>
      <c r="AF21" s="29" t="e">
        <v>#NULL!</v>
      </c>
      <c r="AG21" s="29" t="e">
        <v>#NULL!</v>
      </c>
      <c r="AH21" t="s">
        <v>430</v>
      </c>
      <c r="AI21" s="28">
        <v>7</v>
      </c>
      <c r="AJ21" s="29" t="e">
        <v>#NULL!</v>
      </c>
      <c r="AK21" s="29" t="e">
        <v>#NULL!</v>
      </c>
      <c r="AL21" s="29" t="e">
        <v>#NULL!</v>
      </c>
      <c r="AN21" s="29" t="e">
        <v>#NULL!</v>
      </c>
      <c r="AO21" s="29" t="e">
        <v>#NULL!</v>
      </c>
      <c r="AP21" s="29" t="e">
        <v>#NULL!</v>
      </c>
      <c r="AQ21" s="29" t="e">
        <v>#NULL!</v>
      </c>
      <c r="AS21" s="29" t="e">
        <v>#NULL!</v>
      </c>
      <c r="AT21" s="29" t="e">
        <v>#NULL!</v>
      </c>
      <c r="AU21" s="29" t="e">
        <v>#NULL!</v>
      </c>
      <c r="AV21" s="29" t="e">
        <v>#NULL!</v>
      </c>
      <c r="AX21" s="29" t="e">
        <v>#NULL!</v>
      </c>
      <c r="AY21" s="29" t="e">
        <v>#NULL!</v>
      </c>
      <c r="AZ21" s="29" t="e">
        <v>#NULL!</v>
      </c>
      <c r="BA21" s="29" t="e">
        <v>#NULL!</v>
      </c>
      <c r="BC21" s="29" t="e">
        <v>#NULL!</v>
      </c>
      <c r="BD21" s="29" t="e">
        <v>#NULL!</v>
      </c>
      <c r="BE21" s="29" t="e">
        <v>#NULL!</v>
      </c>
      <c r="BF21" s="29" t="e">
        <v>#NULL!</v>
      </c>
      <c r="BH21" s="29" t="e">
        <v>#NULL!</v>
      </c>
      <c r="BI21" s="29" t="e">
        <v>#NULL!</v>
      </c>
      <c r="BJ21" s="29" t="e">
        <v>#NULL!</v>
      </c>
      <c r="BK21" s="29" t="e">
        <v>#NULL!</v>
      </c>
      <c r="BL21" s="28">
        <v>2</v>
      </c>
      <c r="BM21" s="28">
        <v>9</v>
      </c>
      <c r="BN21" t="s">
        <v>431</v>
      </c>
      <c r="BO21" s="28">
        <v>99</v>
      </c>
      <c r="BP21" s="29" t="e">
        <v>#NULL!</v>
      </c>
      <c r="BQ21" s="29" t="e">
        <v>#NULL!</v>
      </c>
      <c r="BR21" s="29" t="e">
        <v>#NULL!</v>
      </c>
      <c r="BS21" s="28">
        <v>10</v>
      </c>
      <c r="BT21" t="s">
        <v>432</v>
      </c>
      <c r="BU21" s="28">
        <v>2</v>
      </c>
      <c r="BV21" s="29" t="e">
        <v>#NULL!</v>
      </c>
      <c r="BW21" s="29" t="e">
        <v>#NULL!</v>
      </c>
      <c r="BX21" s="29" t="e">
        <v>#NULL!</v>
      </c>
      <c r="BZ21" s="29" t="e">
        <v>#NULL!</v>
      </c>
      <c r="CA21" s="29" t="e">
        <v>#NULL!</v>
      </c>
      <c r="CB21" s="29" t="e">
        <v>#NULL!</v>
      </c>
      <c r="CC21" s="28">
        <v>2</v>
      </c>
      <c r="CD21" s="29" t="e">
        <v>#NULL!</v>
      </c>
      <c r="CE21" s="28">
        <v>2</v>
      </c>
      <c r="CF21" s="29" t="e">
        <v>#NULL!</v>
      </c>
      <c r="CG21" s="29" t="e">
        <v>#NULL!</v>
      </c>
      <c r="CI21" s="29" t="e">
        <v>#NULL!</v>
      </c>
      <c r="CJ21" s="29" t="e">
        <v>#NULL!</v>
      </c>
      <c r="CK21" s="29" t="e">
        <v>#NULL!</v>
      </c>
      <c r="CL21" s="29" t="e">
        <v>#NULL!</v>
      </c>
      <c r="CN21" s="29" t="e">
        <v>#NULL!</v>
      </c>
      <c r="CO21" s="29" t="e">
        <v>#NULL!</v>
      </c>
      <c r="CP21" s="29" t="e">
        <v>#NULL!</v>
      </c>
      <c r="CQ21" s="28">
        <v>2</v>
      </c>
      <c r="CR21" s="29" t="e">
        <v>#NULL!</v>
      </c>
      <c r="CS21" s="28">
        <v>3</v>
      </c>
      <c r="CT21" s="28">
        <v>5</v>
      </c>
      <c r="CU21" s="28">
        <v>4</v>
      </c>
      <c r="CV21" s="28">
        <v>1</v>
      </c>
      <c r="CW21" s="28">
        <v>10</v>
      </c>
      <c r="CX21" s="28">
        <v>4</v>
      </c>
      <c r="CY21" s="28">
        <v>7</v>
      </c>
      <c r="CZ21" t="s">
        <v>433</v>
      </c>
      <c r="DA21" s="28">
        <v>5</v>
      </c>
      <c r="DB21" s="29" t="e">
        <v>#NULL!</v>
      </c>
      <c r="DC21" s="28">
        <v>7</v>
      </c>
      <c r="DD21" s="28">
        <v>0</v>
      </c>
      <c r="DE21" s="28">
        <v>0</v>
      </c>
      <c r="DF21" s="28">
        <v>0</v>
      </c>
      <c r="DG21" s="28">
        <v>0</v>
      </c>
      <c r="DH21" s="28">
        <v>0</v>
      </c>
      <c r="DI21" s="28">
        <v>0</v>
      </c>
      <c r="DJ21" s="28">
        <v>1</v>
      </c>
      <c r="DK21" s="28">
        <v>0</v>
      </c>
      <c r="DL21" s="28">
        <v>0</v>
      </c>
      <c r="DN21" s="28">
        <v>1</v>
      </c>
      <c r="DP21" s="29" t="e">
        <v>#NULL!</v>
      </c>
      <c r="DQ21" s="29" t="e">
        <v>#NULL!</v>
      </c>
      <c r="DR21" s="29" t="e">
        <v>#NULL!</v>
      </c>
      <c r="DT21" s="29" t="e">
        <v>#NULL!</v>
      </c>
      <c r="DU21" s="29" t="e">
        <v>#NULL!</v>
      </c>
      <c r="DV21" s="29" t="e">
        <v>#NULL!</v>
      </c>
      <c r="DW21" s="28">
        <v>5</v>
      </c>
      <c r="DX21" s="28">
        <v>2</v>
      </c>
      <c r="DZ21" s="29" t="e">
        <v>#NULL!</v>
      </c>
      <c r="EA21" s="29" t="e">
        <v>#NULL!</v>
      </c>
      <c r="EI21" s="29" t="e">
        <v>#NULL!</v>
      </c>
      <c r="EJ21" s="29" t="e">
        <v>#NULL!</v>
      </c>
      <c r="EK21" s="29" t="e">
        <v>#NULL!</v>
      </c>
      <c r="EL21" s="29" t="e">
        <v>#NULL!</v>
      </c>
      <c r="EM21" s="28">
        <v>9</v>
      </c>
      <c r="EN21" s="28">
        <v>2</v>
      </c>
      <c r="EP21" s="28">
        <v>5</v>
      </c>
      <c r="EQ21" s="28">
        <v>2</v>
      </c>
      <c r="ER21" s="28">
        <v>1</v>
      </c>
      <c r="ES21" s="28">
        <v>78744</v>
      </c>
      <c r="ET21" s="28">
        <v>2</v>
      </c>
      <c r="EU21" s="28">
        <v>1</v>
      </c>
      <c r="EV21" s="28">
        <v>1</v>
      </c>
      <c r="EW21" s="28">
        <v>5</v>
      </c>
      <c r="EX21" s="28">
        <v>2</v>
      </c>
      <c r="EY21" t="s">
        <v>434</v>
      </c>
      <c r="EZ21" t="s">
        <v>435</v>
      </c>
      <c r="FB21" t="s">
        <v>436</v>
      </c>
      <c r="FC21" t="s">
        <v>437</v>
      </c>
      <c r="FD21" s="29" t="e">
        <v>#NULL!</v>
      </c>
      <c r="FE21" s="29" t="e">
        <v>#NULL!</v>
      </c>
      <c r="FF21" s="28">
        <v>2</v>
      </c>
      <c r="FH21" t="s">
        <v>438</v>
      </c>
      <c r="FI21" t="s">
        <v>439</v>
      </c>
    </row>
    <row r="22" spans="1:165" x14ac:dyDescent="0.15">
      <c r="A22" s="28">
        <v>129</v>
      </c>
      <c r="B22" s="28">
        <v>1</v>
      </c>
      <c r="C22" s="28">
        <v>2</v>
      </c>
      <c r="D22" s="28">
        <v>1</v>
      </c>
      <c r="E22" s="29" t="e">
        <v>#NULL!</v>
      </c>
      <c r="F22" s="28">
        <v>2</v>
      </c>
      <c r="G22" s="28">
        <v>2</v>
      </c>
      <c r="H22" s="28">
        <v>2</v>
      </c>
      <c r="J22" s="28">
        <v>1</v>
      </c>
      <c r="K22" s="28">
        <v>4</v>
      </c>
      <c r="P22" s="29" t="e">
        <v>#NULL!</v>
      </c>
      <c r="Q22" s="29" t="e">
        <v>#NULL!</v>
      </c>
      <c r="R22" s="29" t="e">
        <v>#NULL!</v>
      </c>
      <c r="S22" s="29" t="e">
        <v>#NULL!</v>
      </c>
      <c r="T22" s="28">
        <v>10</v>
      </c>
      <c r="U22" s="28">
        <v>10</v>
      </c>
      <c r="V22" s="28">
        <v>10</v>
      </c>
      <c r="W22" s="28">
        <v>10</v>
      </c>
      <c r="Y22" s="29" t="e">
        <v>#NULL!</v>
      </c>
      <c r="Z22" s="29" t="e">
        <v>#NULL!</v>
      </c>
      <c r="AA22" s="29" t="e">
        <v>#NULL!</v>
      </c>
      <c r="AB22" s="29" t="e">
        <v>#NULL!</v>
      </c>
      <c r="AC22" t="s">
        <v>440</v>
      </c>
      <c r="AD22" s="28">
        <v>21</v>
      </c>
      <c r="AE22" s="29" t="e">
        <v>#NULL!</v>
      </c>
      <c r="AF22" s="29" t="e">
        <v>#NULL!</v>
      </c>
      <c r="AG22" s="29" t="e">
        <v>#NULL!</v>
      </c>
      <c r="AI22" s="29" t="e">
        <v>#NULL!</v>
      </c>
      <c r="AJ22" s="29" t="e">
        <v>#NULL!</v>
      </c>
      <c r="AK22" s="29" t="e">
        <v>#NULL!</v>
      </c>
      <c r="AL22" s="29" t="e">
        <v>#NULL!</v>
      </c>
      <c r="AM22" t="s">
        <v>441</v>
      </c>
      <c r="AN22" s="28">
        <v>25</v>
      </c>
      <c r="AO22" s="29" t="e">
        <v>#NULL!</v>
      </c>
      <c r="AP22" s="29" t="e">
        <v>#NULL!</v>
      </c>
      <c r="AQ22" s="29" t="e">
        <v>#NULL!</v>
      </c>
      <c r="AS22" s="29" t="e">
        <v>#NULL!</v>
      </c>
      <c r="AT22" s="29" t="e">
        <v>#NULL!</v>
      </c>
      <c r="AU22" s="29" t="e">
        <v>#NULL!</v>
      </c>
      <c r="AV22" s="29" t="e">
        <v>#NULL!</v>
      </c>
      <c r="AW22" t="s">
        <v>442</v>
      </c>
      <c r="AX22" s="28">
        <v>27</v>
      </c>
      <c r="AY22" s="29" t="e">
        <v>#NULL!</v>
      </c>
      <c r="AZ22" s="29" t="e">
        <v>#NULL!</v>
      </c>
      <c r="BA22" s="29" t="e">
        <v>#NULL!</v>
      </c>
      <c r="BC22" s="29" t="e">
        <v>#NULL!</v>
      </c>
      <c r="BD22" s="29" t="e">
        <v>#NULL!</v>
      </c>
      <c r="BE22" s="29" t="e">
        <v>#NULL!</v>
      </c>
      <c r="BF22" s="29" t="e">
        <v>#NULL!</v>
      </c>
      <c r="BG22" t="s">
        <v>443</v>
      </c>
      <c r="BH22" s="28">
        <v>21</v>
      </c>
      <c r="BI22" s="29" t="e">
        <v>#NULL!</v>
      </c>
      <c r="BJ22" s="29" t="e">
        <v>#NULL!</v>
      </c>
      <c r="BK22" s="29" t="e">
        <v>#NULL!</v>
      </c>
      <c r="BL22" s="28">
        <v>2</v>
      </c>
      <c r="BM22" s="28">
        <v>3</v>
      </c>
      <c r="BN22" t="s">
        <v>444</v>
      </c>
      <c r="BO22" s="28">
        <v>98</v>
      </c>
      <c r="BP22" s="29" t="e">
        <v>#NULL!</v>
      </c>
      <c r="BQ22" s="29" t="e">
        <v>#NULL!</v>
      </c>
      <c r="BR22" s="29" t="e">
        <v>#NULL!</v>
      </c>
      <c r="BS22" s="28">
        <v>9</v>
      </c>
      <c r="BT22" t="s">
        <v>445</v>
      </c>
      <c r="BU22" s="28">
        <v>12</v>
      </c>
      <c r="BV22" s="28">
        <v>22</v>
      </c>
      <c r="BW22" s="28">
        <v>2</v>
      </c>
      <c r="BX22" s="29" t="e">
        <v>#NULL!</v>
      </c>
      <c r="BZ22" s="29" t="e">
        <v>#NULL!</v>
      </c>
      <c r="CA22" s="29" t="e">
        <v>#NULL!</v>
      </c>
      <c r="CB22" s="29" t="e">
        <v>#NULL!</v>
      </c>
      <c r="CC22" s="28">
        <v>2</v>
      </c>
      <c r="CD22" s="29" t="e">
        <v>#NULL!</v>
      </c>
      <c r="CE22" s="28">
        <v>2</v>
      </c>
      <c r="CF22" s="29" t="e">
        <v>#NULL!</v>
      </c>
      <c r="CG22" s="29" t="e">
        <v>#NULL!</v>
      </c>
      <c r="CI22" s="29" t="e">
        <v>#NULL!</v>
      </c>
      <c r="CJ22" s="29" t="e">
        <v>#NULL!</v>
      </c>
      <c r="CK22" s="29" t="e">
        <v>#NULL!</v>
      </c>
      <c r="CL22" s="29" t="e">
        <v>#NULL!</v>
      </c>
      <c r="CN22" s="29" t="e">
        <v>#NULL!</v>
      </c>
      <c r="CO22" s="29" t="e">
        <v>#NULL!</v>
      </c>
      <c r="CP22" s="29" t="e">
        <v>#NULL!</v>
      </c>
      <c r="CQ22" s="28">
        <v>2</v>
      </c>
      <c r="CR22" s="29" t="e">
        <v>#NULL!</v>
      </c>
      <c r="CS22" s="28">
        <v>10</v>
      </c>
      <c r="CT22" s="28">
        <v>10</v>
      </c>
      <c r="CU22" s="28">
        <v>10</v>
      </c>
      <c r="CV22" s="28">
        <v>10</v>
      </c>
      <c r="CW22" s="28">
        <v>10</v>
      </c>
      <c r="CX22" s="28">
        <v>10</v>
      </c>
      <c r="CY22" s="28">
        <v>10</v>
      </c>
      <c r="DA22" s="29" t="e">
        <v>#NULL!</v>
      </c>
      <c r="DB22" s="29" t="e">
        <v>#NULL!</v>
      </c>
      <c r="DC22" s="28">
        <v>10</v>
      </c>
      <c r="DD22" s="29" t="e">
        <v>#NULL!</v>
      </c>
      <c r="DE22" s="29" t="e">
        <v>#NULL!</v>
      </c>
      <c r="DF22" s="29" t="e">
        <v>#NULL!</v>
      </c>
      <c r="DG22" s="29" t="e">
        <v>#NULL!</v>
      </c>
      <c r="DH22" s="29" t="e">
        <v>#NULL!</v>
      </c>
      <c r="DI22" s="29" t="e">
        <v>#NULL!</v>
      </c>
      <c r="DJ22" s="29" t="e">
        <v>#NULL!</v>
      </c>
      <c r="DK22" s="29" t="e">
        <v>#NULL!</v>
      </c>
      <c r="DL22" s="29" t="e">
        <v>#NULL!</v>
      </c>
      <c r="DN22" s="28">
        <v>1</v>
      </c>
      <c r="DP22" s="29" t="e">
        <v>#NULL!</v>
      </c>
      <c r="DQ22" s="29" t="e">
        <v>#NULL!</v>
      </c>
      <c r="DR22" s="29" t="e">
        <v>#NULL!</v>
      </c>
      <c r="DT22" s="29" t="e">
        <v>#NULL!</v>
      </c>
      <c r="DU22" s="29" t="e">
        <v>#NULL!</v>
      </c>
      <c r="DV22" s="29" t="e">
        <v>#NULL!</v>
      </c>
      <c r="DW22" s="28">
        <v>2</v>
      </c>
      <c r="DX22" s="28">
        <v>2</v>
      </c>
      <c r="DZ22" s="29" t="e">
        <v>#NULL!</v>
      </c>
      <c r="EA22" s="29" t="e">
        <v>#NULL!</v>
      </c>
      <c r="EI22" s="29" t="e">
        <v>#NULL!</v>
      </c>
      <c r="EJ22" s="29" t="e">
        <v>#NULL!</v>
      </c>
      <c r="EK22" s="29" t="e">
        <v>#NULL!</v>
      </c>
      <c r="EL22" s="29" t="e">
        <v>#NULL!</v>
      </c>
      <c r="EM22" s="28">
        <v>8</v>
      </c>
      <c r="EN22" s="28">
        <v>1</v>
      </c>
      <c r="EP22" s="28">
        <v>2</v>
      </c>
      <c r="EQ22" s="28">
        <v>2</v>
      </c>
      <c r="ER22" s="28">
        <v>2</v>
      </c>
      <c r="ES22" s="28">
        <v>78757</v>
      </c>
      <c r="ET22" s="28">
        <v>1</v>
      </c>
      <c r="EU22" s="28">
        <v>4</v>
      </c>
      <c r="EV22" s="28">
        <v>5</v>
      </c>
      <c r="EW22" s="28">
        <v>5</v>
      </c>
      <c r="EX22" s="28">
        <v>2</v>
      </c>
      <c r="EY22" t="s">
        <v>446</v>
      </c>
      <c r="EZ22" t="s">
        <v>447</v>
      </c>
      <c r="FB22" t="s">
        <v>448</v>
      </c>
      <c r="FC22" t="s">
        <v>449</v>
      </c>
      <c r="FD22" s="29" t="e">
        <v>#NULL!</v>
      </c>
      <c r="FE22" s="29" t="e">
        <v>#NULL!</v>
      </c>
      <c r="FF22" s="28">
        <v>2</v>
      </c>
      <c r="FH22" t="s">
        <v>450</v>
      </c>
      <c r="FI22" t="s">
        <v>451</v>
      </c>
    </row>
    <row r="23" spans="1:165" x14ac:dyDescent="0.15">
      <c r="A23" s="28">
        <v>135</v>
      </c>
      <c r="B23" s="28">
        <v>1</v>
      </c>
      <c r="C23" s="28">
        <v>2</v>
      </c>
      <c r="D23" s="28">
        <v>1</v>
      </c>
      <c r="E23" s="29" t="e">
        <v>#NULL!</v>
      </c>
      <c r="F23" s="28">
        <v>2</v>
      </c>
      <c r="G23" s="28">
        <v>2</v>
      </c>
      <c r="H23" s="28">
        <v>3</v>
      </c>
      <c r="J23" s="28">
        <v>1</v>
      </c>
      <c r="K23" s="28">
        <v>2</v>
      </c>
      <c r="P23" s="29" t="e">
        <v>#NULL!</v>
      </c>
      <c r="Q23" s="29" t="e">
        <v>#NULL!</v>
      </c>
      <c r="R23" s="29" t="e">
        <v>#NULL!</v>
      </c>
      <c r="S23" s="29" t="e">
        <v>#NULL!</v>
      </c>
      <c r="T23" s="28">
        <v>8</v>
      </c>
      <c r="U23" s="28">
        <v>9</v>
      </c>
      <c r="V23" s="28">
        <v>9</v>
      </c>
      <c r="W23" s="28">
        <v>7</v>
      </c>
      <c r="Y23" s="29" t="e">
        <v>#NULL!</v>
      </c>
      <c r="Z23" s="29" t="e">
        <v>#NULL!</v>
      </c>
      <c r="AA23" s="29" t="e">
        <v>#NULL!</v>
      </c>
      <c r="AB23" s="29" t="e">
        <v>#NULL!</v>
      </c>
      <c r="AC23" t="s">
        <v>452</v>
      </c>
      <c r="AD23" s="28">
        <v>26</v>
      </c>
      <c r="AE23" s="29" t="e">
        <v>#NULL!</v>
      </c>
      <c r="AF23" s="29" t="e">
        <v>#NULL!</v>
      </c>
      <c r="AG23" s="29" t="e">
        <v>#NULL!</v>
      </c>
      <c r="AI23" s="29" t="e">
        <v>#NULL!</v>
      </c>
      <c r="AJ23" s="29" t="e">
        <v>#NULL!</v>
      </c>
      <c r="AK23" s="29" t="e">
        <v>#NULL!</v>
      </c>
      <c r="AL23" s="29" t="e">
        <v>#NULL!</v>
      </c>
      <c r="AM23" t="s">
        <v>453</v>
      </c>
      <c r="AN23" s="28">
        <v>26</v>
      </c>
      <c r="AO23" s="29" t="e">
        <v>#NULL!</v>
      </c>
      <c r="AP23" s="29" t="e">
        <v>#NULL!</v>
      </c>
      <c r="AQ23" s="29" t="e">
        <v>#NULL!</v>
      </c>
      <c r="AS23" s="29" t="e">
        <v>#NULL!</v>
      </c>
      <c r="AT23" s="29" t="e">
        <v>#NULL!</v>
      </c>
      <c r="AU23" s="29" t="e">
        <v>#NULL!</v>
      </c>
      <c r="AV23" s="29" t="e">
        <v>#NULL!</v>
      </c>
      <c r="AW23" t="s">
        <v>454</v>
      </c>
      <c r="AX23" s="28">
        <v>3</v>
      </c>
      <c r="AY23" s="29" t="e">
        <v>#NULL!</v>
      </c>
      <c r="AZ23" s="29" t="e">
        <v>#NULL!</v>
      </c>
      <c r="BA23" s="29" t="e">
        <v>#NULL!</v>
      </c>
      <c r="BC23" s="29" t="e">
        <v>#NULL!</v>
      </c>
      <c r="BD23" s="29" t="e">
        <v>#NULL!</v>
      </c>
      <c r="BE23" s="29" t="e">
        <v>#NULL!</v>
      </c>
      <c r="BF23" s="29" t="e">
        <v>#NULL!</v>
      </c>
      <c r="BH23" s="29" t="e">
        <v>#NULL!</v>
      </c>
      <c r="BI23" s="29" t="e">
        <v>#NULL!</v>
      </c>
      <c r="BJ23" s="29" t="e">
        <v>#NULL!</v>
      </c>
      <c r="BK23" s="29" t="e">
        <v>#NULL!</v>
      </c>
      <c r="BL23" s="28">
        <v>4</v>
      </c>
      <c r="BM23" s="29" t="e">
        <v>#NULL!</v>
      </c>
      <c r="BO23" s="29" t="e">
        <v>#NULL!</v>
      </c>
      <c r="BP23" s="29" t="e">
        <v>#NULL!</v>
      </c>
      <c r="BQ23" s="29" t="e">
        <v>#NULL!</v>
      </c>
      <c r="BR23" s="29" t="e">
        <v>#NULL!</v>
      </c>
      <c r="BS23" s="29" t="e">
        <v>#NULL!</v>
      </c>
      <c r="BU23" s="29" t="e">
        <v>#NULL!</v>
      </c>
      <c r="BV23" s="29" t="e">
        <v>#NULL!</v>
      </c>
      <c r="BW23" s="29" t="e">
        <v>#NULL!</v>
      </c>
      <c r="BX23" s="28">
        <v>10</v>
      </c>
      <c r="BZ23" s="29" t="e">
        <v>#NULL!</v>
      </c>
      <c r="CA23" s="29" t="e">
        <v>#NULL!</v>
      </c>
      <c r="CB23" s="29" t="e">
        <v>#NULL!</v>
      </c>
      <c r="CC23" s="28">
        <v>3</v>
      </c>
      <c r="CD23" s="29" t="e">
        <v>#NULL!</v>
      </c>
      <c r="CE23" s="28">
        <v>3</v>
      </c>
      <c r="CF23" s="29" t="e">
        <v>#NULL!</v>
      </c>
      <c r="CG23" s="29" t="e">
        <v>#NULL!</v>
      </c>
      <c r="CI23" s="29" t="e">
        <v>#NULL!</v>
      </c>
      <c r="CJ23" s="29" t="e">
        <v>#NULL!</v>
      </c>
      <c r="CK23" s="29" t="e">
        <v>#NULL!</v>
      </c>
      <c r="CL23" s="29" t="e">
        <v>#NULL!</v>
      </c>
      <c r="CN23" s="29" t="e">
        <v>#NULL!</v>
      </c>
      <c r="CO23" s="29" t="e">
        <v>#NULL!</v>
      </c>
      <c r="CP23" s="29" t="e">
        <v>#NULL!</v>
      </c>
      <c r="CQ23" s="28">
        <v>2</v>
      </c>
      <c r="CR23" s="29" t="e">
        <v>#NULL!</v>
      </c>
      <c r="CS23" s="28">
        <v>9</v>
      </c>
      <c r="CT23" s="28">
        <v>10</v>
      </c>
      <c r="CU23" s="28">
        <v>9</v>
      </c>
      <c r="CV23" s="28">
        <v>9</v>
      </c>
      <c r="CW23" s="28">
        <v>10</v>
      </c>
      <c r="CX23" s="28">
        <v>10</v>
      </c>
      <c r="CY23" s="28">
        <v>10</v>
      </c>
      <c r="DA23" s="29" t="e">
        <v>#NULL!</v>
      </c>
      <c r="DB23" s="29" t="e">
        <v>#NULL!</v>
      </c>
      <c r="DC23" s="28">
        <v>9</v>
      </c>
      <c r="DD23" s="29" t="e">
        <v>#NULL!</v>
      </c>
      <c r="DE23" s="29" t="e">
        <v>#NULL!</v>
      </c>
      <c r="DF23" s="29" t="e">
        <v>#NULL!</v>
      </c>
      <c r="DG23" s="29" t="e">
        <v>#NULL!</v>
      </c>
      <c r="DH23" s="29" t="e">
        <v>#NULL!</v>
      </c>
      <c r="DI23" s="29" t="e">
        <v>#NULL!</v>
      </c>
      <c r="DJ23" s="29" t="e">
        <v>#NULL!</v>
      </c>
      <c r="DK23" s="29" t="e">
        <v>#NULL!</v>
      </c>
      <c r="DL23" s="29" t="e">
        <v>#NULL!</v>
      </c>
      <c r="DN23" s="28">
        <v>1</v>
      </c>
      <c r="DP23" s="29" t="e">
        <v>#NULL!</v>
      </c>
      <c r="DQ23" s="29" t="e">
        <v>#NULL!</v>
      </c>
      <c r="DR23" s="29" t="e">
        <v>#NULL!</v>
      </c>
      <c r="DT23" s="29" t="e">
        <v>#NULL!</v>
      </c>
      <c r="DU23" s="29" t="e">
        <v>#NULL!</v>
      </c>
      <c r="DV23" s="29" t="e">
        <v>#NULL!</v>
      </c>
      <c r="DW23" s="28">
        <v>2</v>
      </c>
      <c r="DX23" s="28">
        <v>2</v>
      </c>
      <c r="DZ23" s="29" t="e">
        <v>#NULL!</v>
      </c>
      <c r="EA23" s="29" t="e">
        <v>#NULL!</v>
      </c>
      <c r="EI23" s="29" t="e">
        <v>#NULL!</v>
      </c>
      <c r="EJ23" s="29" t="e">
        <v>#NULL!</v>
      </c>
      <c r="EK23" s="29" t="e">
        <v>#NULL!</v>
      </c>
      <c r="EL23" s="29" t="e">
        <v>#NULL!</v>
      </c>
      <c r="EM23" s="28">
        <v>10</v>
      </c>
      <c r="EN23" s="28">
        <v>1</v>
      </c>
      <c r="EP23" s="28">
        <v>5</v>
      </c>
      <c r="EQ23" s="28">
        <v>1</v>
      </c>
      <c r="ER23" s="28">
        <v>2</v>
      </c>
      <c r="ES23" s="28">
        <v>78730</v>
      </c>
      <c r="ET23" s="28">
        <v>2</v>
      </c>
      <c r="EU23" s="28">
        <v>4</v>
      </c>
      <c r="EV23" s="28">
        <v>6</v>
      </c>
      <c r="EW23" s="28">
        <v>4</v>
      </c>
      <c r="EX23" s="28">
        <v>2</v>
      </c>
      <c r="EY23" t="s">
        <v>455</v>
      </c>
      <c r="EZ23" t="s">
        <v>456</v>
      </c>
      <c r="FB23" t="s">
        <v>457</v>
      </c>
      <c r="FC23" t="s">
        <v>458</v>
      </c>
      <c r="FD23" s="29" t="e">
        <v>#NULL!</v>
      </c>
      <c r="FE23" s="29" t="e">
        <v>#NULL!</v>
      </c>
      <c r="FF23" s="28">
        <v>2</v>
      </c>
      <c r="FH23" t="s">
        <v>459</v>
      </c>
      <c r="FI23" t="s">
        <v>460</v>
      </c>
    </row>
    <row r="24" spans="1:165" x14ac:dyDescent="0.15">
      <c r="A24" s="28">
        <v>136</v>
      </c>
      <c r="B24" s="28">
        <v>1</v>
      </c>
      <c r="C24" s="28">
        <v>2</v>
      </c>
      <c r="D24" s="28">
        <v>1</v>
      </c>
      <c r="E24" s="29" t="e">
        <v>#NULL!</v>
      </c>
      <c r="F24" s="28">
        <v>3</v>
      </c>
      <c r="G24" s="28">
        <v>2</v>
      </c>
      <c r="H24" s="28">
        <v>1</v>
      </c>
      <c r="J24" s="28">
        <v>2</v>
      </c>
      <c r="K24" s="28">
        <v>20</v>
      </c>
      <c r="N24" t="s">
        <v>461</v>
      </c>
      <c r="O24" t="s">
        <v>462</v>
      </c>
      <c r="P24" s="28">
        <v>12</v>
      </c>
      <c r="Q24" s="29" t="e">
        <v>#NULL!</v>
      </c>
      <c r="R24" s="29" t="e">
        <v>#NULL!</v>
      </c>
      <c r="S24" s="29" t="e">
        <v>#NULL!</v>
      </c>
      <c r="T24" s="28">
        <v>3</v>
      </c>
      <c r="U24" s="28">
        <v>3</v>
      </c>
      <c r="V24" s="28">
        <v>3</v>
      </c>
      <c r="W24" s="28">
        <v>10</v>
      </c>
      <c r="X24" t="s">
        <v>463</v>
      </c>
      <c r="Y24" s="28">
        <v>2</v>
      </c>
      <c r="Z24" s="29" t="e">
        <v>#NULL!</v>
      </c>
      <c r="AA24" s="29" t="e">
        <v>#NULL!</v>
      </c>
      <c r="AB24" s="29" t="e">
        <v>#NULL!</v>
      </c>
      <c r="AD24" s="29" t="e">
        <v>#NULL!</v>
      </c>
      <c r="AE24" s="29" t="e">
        <v>#NULL!</v>
      </c>
      <c r="AF24" s="29" t="e">
        <v>#NULL!</v>
      </c>
      <c r="AG24" s="29" t="e">
        <v>#NULL!</v>
      </c>
      <c r="AH24" t="s">
        <v>464</v>
      </c>
      <c r="AI24" s="28">
        <v>9</v>
      </c>
      <c r="AJ24" s="29" t="e">
        <v>#NULL!</v>
      </c>
      <c r="AK24" s="29" t="e">
        <v>#NULL!</v>
      </c>
      <c r="AL24" s="29" t="e">
        <v>#NULL!</v>
      </c>
      <c r="AN24" s="29" t="e">
        <v>#NULL!</v>
      </c>
      <c r="AO24" s="29" t="e">
        <v>#NULL!</v>
      </c>
      <c r="AP24" s="29" t="e">
        <v>#NULL!</v>
      </c>
      <c r="AQ24" s="29" t="e">
        <v>#NULL!</v>
      </c>
      <c r="AR24" t="s">
        <v>465</v>
      </c>
      <c r="AS24" s="28">
        <v>3</v>
      </c>
      <c r="AT24" s="29" t="e">
        <v>#NULL!</v>
      </c>
      <c r="AU24" s="29" t="e">
        <v>#NULL!</v>
      </c>
      <c r="AV24" s="29" t="e">
        <v>#NULL!</v>
      </c>
      <c r="AX24" s="29" t="e">
        <v>#NULL!</v>
      </c>
      <c r="AY24" s="29" t="e">
        <v>#NULL!</v>
      </c>
      <c r="AZ24" s="29" t="e">
        <v>#NULL!</v>
      </c>
      <c r="BA24" s="29" t="e">
        <v>#NULL!</v>
      </c>
      <c r="BC24" s="29" t="e">
        <v>#NULL!</v>
      </c>
      <c r="BD24" s="29" t="e">
        <v>#NULL!</v>
      </c>
      <c r="BE24" s="29" t="e">
        <v>#NULL!</v>
      </c>
      <c r="BF24" s="29" t="e">
        <v>#NULL!</v>
      </c>
      <c r="BG24" t="s">
        <v>466</v>
      </c>
      <c r="BH24" s="28">
        <v>21</v>
      </c>
      <c r="BI24" s="29" t="e">
        <v>#NULL!</v>
      </c>
      <c r="BJ24" s="29" t="e">
        <v>#NULL!</v>
      </c>
      <c r="BK24" s="29" t="e">
        <v>#NULL!</v>
      </c>
      <c r="BL24" s="28">
        <v>2</v>
      </c>
      <c r="BM24" s="28">
        <v>4</v>
      </c>
      <c r="BN24" t="s">
        <v>467</v>
      </c>
      <c r="BO24" s="28">
        <v>98</v>
      </c>
      <c r="BP24" s="29" t="e">
        <v>#NULL!</v>
      </c>
      <c r="BQ24" s="29" t="e">
        <v>#NULL!</v>
      </c>
      <c r="BR24" s="29" t="e">
        <v>#NULL!</v>
      </c>
      <c r="BS24" s="28">
        <v>10</v>
      </c>
      <c r="BT24" t="s">
        <v>468</v>
      </c>
      <c r="BU24" s="28">
        <v>1</v>
      </c>
      <c r="BV24" s="29" t="e">
        <v>#NULL!</v>
      </c>
      <c r="BW24" s="29" t="e">
        <v>#NULL!</v>
      </c>
      <c r="BX24" s="29" t="e">
        <v>#NULL!</v>
      </c>
      <c r="BZ24" s="29" t="e">
        <v>#NULL!</v>
      </c>
      <c r="CA24" s="29" t="e">
        <v>#NULL!</v>
      </c>
      <c r="CB24" s="29" t="e">
        <v>#NULL!</v>
      </c>
      <c r="CC24" s="28">
        <v>1</v>
      </c>
      <c r="CD24" s="28">
        <v>9</v>
      </c>
      <c r="CE24" s="28">
        <v>2</v>
      </c>
      <c r="CF24" s="29" t="e">
        <v>#NULL!</v>
      </c>
      <c r="CG24" s="29" t="e">
        <v>#NULL!</v>
      </c>
      <c r="CI24" s="29" t="e">
        <v>#NULL!</v>
      </c>
      <c r="CJ24" s="29" t="e">
        <v>#NULL!</v>
      </c>
      <c r="CK24" s="29" t="e">
        <v>#NULL!</v>
      </c>
      <c r="CL24" s="29" t="e">
        <v>#NULL!</v>
      </c>
      <c r="CN24" s="29" t="e">
        <v>#NULL!</v>
      </c>
      <c r="CO24" s="29" t="e">
        <v>#NULL!</v>
      </c>
      <c r="CP24" s="29" t="e">
        <v>#NULL!</v>
      </c>
      <c r="CQ24" s="28">
        <v>2</v>
      </c>
      <c r="CR24" s="29" t="e">
        <v>#NULL!</v>
      </c>
      <c r="CS24" s="28">
        <v>10</v>
      </c>
      <c r="CT24" s="28">
        <v>9</v>
      </c>
      <c r="CU24" s="28">
        <v>10</v>
      </c>
      <c r="CV24" s="28">
        <v>11</v>
      </c>
      <c r="CW24" s="28">
        <v>10</v>
      </c>
      <c r="CX24" s="28">
        <v>10</v>
      </c>
      <c r="CY24" s="28">
        <v>10</v>
      </c>
      <c r="DA24" s="29" t="e">
        <v>#NULL!</v>
      </c>
      <c r="DB24" s="29" t="e">
        <v>#NULL!</v>
      </c>
      <c r="DC24" s="28">
        <v>10</v>
      </c>
      <c r="DD24" s="29" t="e">
        <v>#NULL!</v>
      </c>
      <c r="DE24" s="29" t="e">
        <v>#NULL!</v>
      </c>
      <c r="DF24" s="29" t="e">
        <v>#NULL!</v>
      </c>
      <c r="DG24" s="29" t="e">
        <v>#NULL!</v>
      </c>
      <c r="DH24" s="29" t="e">
        <v>#NULL!</v>
      </c>
      <c r="DI24" s="29" t="e">
        <v>#NULL!</v>
      </c>
      <c r="DJ24" s="29" t="e">
        <v>#NULL!</v>
      </c>
      <c r="DK24" s="29" t="e">
        <v>#NULL!</v>
      </c>
      <c r="DL24" s="29" t="e">
        <v>#NULL!</v>
      </c>
      <c r="DN24" s="28">
        <v>1</v>
      </c>
      <c r="DP24" s="29" t="e">
        <v>#NULL!</v>
      </c>
      <c r="DQ24" s="29" t="e">
        <v>#NULL!</v>
      </c>
      <c r="DR24" s="29" t="e">
        <v>#NULL!</v>
      </c>
      <c r="DT24" s="29" t="e">
        <v>#NULL!</v>
      </c>
      <c r="DU24" s="29" t="e">
        <v>#NULL!</v>
      </c>
      <c r="DV24" s="29" t="e">
        <v>#NULL!</v>
      </c>
      <c r="DW24" s="28">
        <v>4</v>
      </c>
      <c r="DX24" s="28">
        <v>3</v>
      </c>
      <c r="DZ24" s="29" t="e">
        <v>#NULL!</v>
      </c>
      <c r="EA24" s="29" t="e">
        <v>#NULL!</v>
      </c>
      <c r="EI24" s="29" t="e">
        <v>#NULL!</v>
      </c>
      <c r="EJ24" s="29" t="e">
        <v>#NULL!</v>
      </c>
      <c r="EK24" s="29" t="e">
        <v>#NULL!</v>
      </c>
      <c r="EL24" s="29" t="e">
        <v>#NULL!</v>
      </c>
      <c r="EM24" s="28">
        <v>8</v>
      </c>
      <c r="EN24" s="28">
        <v>3</v>
      </c>
      <c r="EP24" s="28">
        <v>1</v>
      </c>
      <c r="EQ24" s="28">
        <v>2</v>
      </c>
      <c r="ER24" s="28">
        <v>2</v>
      </c>
      <c r="ES24" s="28">
        <v>78747</v>
      </c>
      <c r="ET24" s="28">
        <v>1</v>
      </c>
      <c r="EU24" s="28">
        <v>4</v>
      </c>
      <c r="EV24" s="28">
        <v>4</v>
      </c>
      <c r="EW24" s="28">
        <v>5</v>
      </c>
      <c r="EX24" s="28">
        <v>2</v>
      </c>
      <c r="EY24" t="s">
        <v>469</v>
      </c>
      <c r="EZ24" t="s">
        <v>470</v>
      </c>
      <c r="FB24" t="s">
        <v>471</v>
      </c>
      <c r="FC24" t="s">
        <v>472</v>
      </c>
      <c r="FD24" s="29" t="e">
        <v>#NULL!</v>
      </c>
      <c r="FE24" s="29" t="e">
        <v>#NULL!</v>
      </c>
      <c r="FF24" s="28">
        <v>2</v>
      </c>
      <c r="FH24" t="s">
        <v>473</v>
      </c>
      <c r="FI24" t="s">
        <v>474</v>
      </c>
    </row>
    <row r="25" spans="1:165" x14ac:dyDescent="0.15">
      <c r="A25" s="28">
        <v>142</v>
      </c>
      <c r="B25" s="28">
        <v>1</v>
      </c>
      <c r="C25" s="28">
        <v>2</v>
      </c>
      <c r="D25" s="28">
        <v>1</v>
      </c>
      <c r="E25" s="29" t="e">
        <v>#NULL!</v>
      </c>
      <c r="F25" s="28">
        <v>2</v>
      </c>
      <c r="G25" s="28">
        <v>2</v>
      </c>
      <c r="H25" s="28">
        <v>2</v>
      </c>
      <c r="J25" s="28">
        <v>1</v>
      </c>
      <c r="K25" s="28">
        <v>11</v>
      </c>
      <c r="P25" s="29" t="e">
        <v>#NULL!</v>
      </c>
      <c r="Q25" s="29" t="e">
        <v>#NULL!</v>
      </c>
      <c r="R25" s="29" t="e">
        <v>#NULL!</v>
      </c>
      <c r="S25" s="29" t="e">
        <v>#NULL!</v>
      </c>
      <c r="T25" s="28">
        <v>10</v>
      </c>
      <c r="U25" s="28">
        <v>10</v>
      </c>
      <c r="V25" s="28">
        <v>10</v>
      </c>
      <c r="W25" s="28">
        <v>10</v>
      </c>
      <c r="Y25" s="29" t="e">
        <v>#NULL!</v>
      </c>
      <c r="Z25" s="29" t="e">
        <v>#NULL!</v>
      </c>
      <c r="AA25" s="29" t="e">
        <v>#NULL!</v>
      </c>
      <c r="AB25" s="29" t="e">
        <v>#NULL!</v>
      </c>
      <c r="AC25" t="s">
        <v>475</v>
      </c>
      <c r="AD25" s="28">
        <v>21</v>
      </c>
      <c r="AE25" s="29" t="e">
        <v>#NULL!</v>
      </c>
      <c r="AF25" s="29" t="e">
        <v>#NULL!</v>
      </c>
      <c r="AG25" s="29" t="e">
        <v>#NULL!</v>
      </c>
      <c r="AI25" s="29" t="e">
        <v>#NULL!</v>
      </c>
      <c r="AJ25" s="29" t="e">
        <v>#NULL!</v>
      </c>
      <c r="AK25" s="29" t="e">
        <v>#NULL!</v>
      </c>
      <c r="AL25" s="29" t="e">
        <v>#NULL!</v>
      </c>
      <c r="AM25" t="s">
        <v>476</v>
      </c>
      <c r="AN25" s="28">
        <v>30</v>
      </c>
      <c r="AO25" s="29" t="e">
        <v>#NULL!</v>
      </c>
      <c r="AP25" s="29" t="e">
        <v>#NULL!</v>
      </c>
      <c r="AQ25" s="29" t="e">
        <v>#NULL!</v>
      </c>
      <c r="AS25" s="29" t="e">
        <v>#NULL!</v>
      </c>
      <c r="AT25" s="29" t="e">
        <v>#NULL!</v>
      </c>
      <c r="AU25" s="29" t="e">
        <v>#NULL!</v>
      </c>
      <c r="AV25" s="29" t="e">
        <v>#NULL!</v>
      </c>
      <c r="AW25" t="s">
        <v>477</v>
      </c>
      <c r="AX25" s="28">
        <v>28</v>
      </c>
      <c r="AY25" s="29" t="e">
        <v>#NULL!</v>
      </c>
      <c r="AZ25" s="29" t="e">
        <v>#NULL!</v>
      </c>
      <c r="BA25" s="29" t="e">
        <v>#NULL!</v>
      </c>
      <c r="BC25" s="29" t="e">
        <v>#NULL!</v>
      </c>
      <c r="BD25" s="29" t="e">
        <v>#NULL!</v>
      </c>
      <c r="BE25" s="29" t="e">
        <v>#NULL!</v>
      </c>
      <c r="BF25" s="29" t="e">
        <v>#NULL!</v>
      </c>
      <c r="BG25" t="s">
        <v>477</v>
      </c>
      <c r="BH25" s="28">
        <v>28</v>
      </c>
      <c r="BI25" s="29" t="e">
        <v>#NULL!</v>
      </c>
      <c r="BJ25" s="29" t="e">
        <v>#NULL!</v>
      </c>
      <c r="BK25" s="29" t="e">
        <v>#NULL!</v>
      </c>
      <c r="BL25" s="28">
        <v>2</v>
      </c>
      <c r="BM25" s="28">
        <v>5</v>
      </c>
      <c r="BN25" t="s">
        <v>478</v>
      </c>
      <c r="BO25" s="28">
        <v>8</v>
      </c>
      <c r="BP25" s="29" t="e">
        <v>#NULL!</v>
      </c>
      <c r="BQ25" s="29" t="e">
        <v>#NULL!</v>
      </c>
      <c r="BR25" s="29" t="e">
        <v>#NULL!</v>
      </c>
      <c r="BS25" s="28">
        <v>10</v>
      </c>
      <c r="BT25" t="s">
        <v>359</v>
      </c>
      <c r="BU25" s="28">
        <v>97</v>
      </c>
      <c r="BV25" s="29" t="e">
        <v>#NULL!</v>
      </c>
      <c r="BW25" s="29" t="e">
        <v>#NULL!</v>
      </c>
      <c r="BX25" s="29" t="e">
        <v>#NULL!</v>
      </c>
      <c r="BZ25" s="29" t="e">
        <v>#NULL!</v>
      </c>
      <c r="CA25" s="29" t="e">
        <v>#NULL!</v>
      </c>
      <c r="CB25" s="29" t="e">
        <v>#NULL!</v>
      </c>
      <c r="CC25" s="28">
        <v>2</v>
      </c>
      <c r="CD25" s="29" t="e">
        <v>#NULL!</v>
      </c>
      <c r="CE25" s="28">
        <v>2</v>
      </c>
      <c r="CF25" s="29" t="e">
        <v>#NULL!</v>
      </c>
      <c r="CG25" s="29" t="e">
        <v>#NULL!</v>
      </c>
      <c r="CI25" s="29" t="e">
        <v>#NULL!</v>
      </c>
      <c r="CJ25" s="29" t="e">
        <v>#NULL!</v>
      </c>
      <c r="CK25" s="29" t="e">
        <v>#NULL!</v>
      </c>
      <c r="CL25" s="29" t="e">
        <v>#NULL!</v>
      </c>
      <c r="CN25" s="29" t="e">
        <v>#NULL!</v>
      </c>
      <c r="CO25" s="29" t="e">
        <v>#NULL!</v>
      </c>
      <c r="CP25" s="29" t="e">
        <v>#NULL!</v>
      </c>
      <c r="CQ25" s="28">
        <v>2</v>
      </c>
      <c r="CR25" s="29" t="e">
        <v>#NULL!</v>
      </c>
      <c r="CS25" s="28">
        <v>10</v>
      </c>
      <c r="CT25" s="28">
        <v>10</v>
      </c>
      <c r="CU25" s="28">
        <v>10</v>
      </c>
      <c r="CV25" s="28">
        <v>10</v>
      </c>
      <c r="CW25" s="28">
        <v>10</v>
      </c>
      <c r="CX25" s="28">
        <v>10</v>
      </c>
      <c r="CY25" s="28">
        <v>10</v>
      </c>
      <c r="DA25" s="29" t="e">
        <v>#NULL!</v>
      </c>
      <c r="DB25" s="29" t="e">
        <v>#NULL!</v>
      </c>
      <c r="DC25" s="28">
        <v>10</v>
      </c>
      <c r="DD25" s="29" t="e">
        <v>#NULL!</v>
      </c>
      <c r="DE25" s="29" t="e">
        <v>#NULL!</v>
      </c>
      <c r="DF25" s="29" t="e">
        <v>#NULL!</v>
      </c>
      <c r="DG25" s="29" t="e">
        <v>#NULL!</v>
      </c>
      <c r="DH25" s="29" t="e">
        <v>#NULL!</v>
      </c>
      <c r="DI25" s="29" t="e">
        <v>#NULL!</v>
      </c>
      <c r="DJ25" s="29" t="e">
        <v>#NULL!</v>
      </c>
      <c r="DK25" s="29" t="e">
        <v>#NULL!</v>
      </c>
      <c r="DL25" s="29" t="e">
        <v>#NULL!</v>
      </c>
      <c r="DN25" s="28">
        <v>1</v>
      </c>
      <c r="DP25" s="29" t="e">
        <v>#NULL!</v>
      </c>
      <c r="DQ25" s="29" t="e">
        <v>#NULL!</v>
      </c>
      <c r="DR25" s="29" t="e">
        <v>#NULL!</v>
      </c>
      <c r="DT25" s="29" t="e">
        <v>#NULL!</v>
      </c>
      <c r="DU25" s="29" t="e">
        <v>#NULL!</v>
      </c>
      <c r="DV25" s="29" t="e">
        <v>#NULL!</v>
      </c>
      <c r="DW25" s="28">
        <v>3</v>
      </c>
      <c r="DX25" s="28">
        <v>2</v>
      </c>
      <c r="DZ25" s="29" t="e">
        <v>#NULL!</v>
      </c>
      <c r="EA25" s="29" t="e">
        <v>#NULL!</v>
      </c>
      <c r="EI25" s="29" t="e">
        <v>#NULL!</v>
      </c>
      <c r="EJ25" s="29" t="e">
        <v>#NULL!</v>
      </c>
      <c r="EK25" s="29" t="e">
        <v>#NULL!</v>
      </c>
      <c r="EL25" s="29" t="e">
        <v>#NULL!</v>
      </c>
      <c r="EM25" s="28">
        <v>10</v>
      </c>
      <c r="EN25" s="28">
        <v>2</v>
      </c>
      <c r="EP25" s="28">
        <v>5</v>
      </c>
      <c r="EQ25" s="28">
        <v>1</v>
      </c>
      <c r="ER25" s="28">
        <v>2</v>
      </c>
      <c r="ES25" s="28">
        <v>78752</v>
      </c>
      <c r="ET25" s="28">
        <v>2</v>
      </c>
      <c r="EU25" s="28">
        <v>3</v>
      </c>
      <c r="EV25" s="28">
        <v>3</v>
      </c>
      <c r="EW25" s="28">
        <v>5</v>
      </c>
      <c r="EX25" s="28">
        <v>2</v>
      </c>
      <c r="EY25" t="s">
        <v>479</v>
      </c>
      <c r="EZ25" t="s">
        <v>480</v>
      </c>
      <c r="FB25" t="s">
        <v>481</v>
      </c>
      <c r="FC25" t="s">
        <v>482</v>
      </c>
      <c r="FD25" s="29" t="e">
        <v>#NULL!</v>
      </c>
      <c r="FE25" s="29" t="e">
        <v>#NULL!</v>
      </c>
      <c r="FF25" s="28">
        <v>2</v>
      </c>
      <c r="FH25" t="s">
        <v>483</v>
      </c>
      <c r="FI25" t="s">
        <v>484</v>
      </c>
    </row>
    <row r="26" spans="1:165" x14ac:dyDescent="0.15">
      <c r="A26" s="28">
        <v>147</v>
      </c>
      <c r="B26" s="28">
        <v>1</v>
      </c>
      <c r="C26" s="28">
        <v>2</v>
      </c>
      <c r="D26" s="28">
        <v>1</v>
      </c>
      <c r="E26" s="29" t="e">
        <v>#NULL!</v>
      </c>
      <c r="F26" s="28">
        <v>2</v>
      </c>
      <c r="G26" s="28">
        <v>2</v>
      </c>
      <c r="H26" s="28">
        <v>2</v>
      </c>
      <c r="J26" s="28">
        <v>1</v>
      </c>
      <c r="K26" s="28">
        <v>38</v>
      </c>
      <c r="N26" t="s">
        <v>485</v>
      </c>
      <c r="P26" s="29" t="e">
        <v>#NULL!</v>
      </c>
      <c r="Q26" s="29" t="e">
        <v>#NULL!</v>
      </c>
      <c r="R26" s="29" t="e">
        <v>#NULL!</v>
      </c>
      <c r="S26" s="29" t="e">
        <v>#NULL!</v>
      </c>
      <c r="T26" s="28">
        <v>10</v>
      </c>
      <c r="U26" s="28">
        <v>10</v>
      </c>
      <c r="V26" s="28">
        <v>10</v>
      </c>
      <c r="W26" s="28">
        <v>10</v>
      </c>
      <c r="Y26" s="29" t="e">
        <v>#NULL!</v>
      </c>
      <c r="Z26" s="29" t="e">
        <v>#NULL!</v>
      </c>
      <c r="AA26" s="29" t="e">
        <v>#NULL!</v>
      </c>
      <c r="AB26" s="29" t="e">
        <v>#NULL!</v>
      </c>
      <c r="AC26" t="s">
        <v>486</v>
      </c>
      <c r="AD26" s="28">
        <v>21</v>
      </c>
      <c r="AE26" s="29" t="e">
        <v>#NULL!</v>
      </c>
      <c r="AF26" s="29" t="e">
        <v>#NULL!</v>
      </c>
      <c r="AG26" s="29" t="e">
        <v>#NULL!</v>
      </c>
      <c r="AI26" s="29" t="e">
        <v>#NULL!</v>
      </c>
      <c r="AJ26" s="29" t="e">
        <v>#NULL!</v>
      </c>
      <c r="AK26" s="29" t="e">
        <v>#NULL!</v>
      </c>
      <c r="AL26" s="29" t="e">
        <v>#NULL!</v>
      </c>
      <c r="AM26" t="s">
        <v>486</v>
      </c>
      <c r="AN26" s="28">
        <v>21</v>
      </c>
      <c r="AO26" s="29" t="e">
        <v>#NULL!</v>
      </c>
      <c r="AP26" s="29" t="e">
        <v>#NULL!</v>
      </c>
      <c r="AQ26" s="29" t="e">
        <v>#NULL!</v>
      </c>
      <c r="AS26" s="29" t="e">
        <v>#NULL!</v>
      </c>
      <c r="AT26" s="29" t="e">
        <v>#NULL!</v>
      </c>
      <c r="AU26" s="29" t="e">
        <v>#NULL!</v>
      </c>
      <c r="AV26" s="29" t="e">
        <v>#NULL!</v>
      </c>
      <c r="AW26" t="s">
        <v>487</v>
      </c>
      <c r="AX26" s="28">
        <v>21</v>
      </c>
      <c r="AY26" s="29" t="e">
        <v>#NULL!</v>
      </c>
      <c r="AZ26" s="29" t="e">
        <v>#NULL!</v>
      </c>
      <c r="BA26" s="29" t="e">
        <v>#NULL!</v>
      </c>
      <c r="BC26" s="29" t="e">
        <v>#NULL!</v>
      </c>
      <c r="BD26" s="29" t="e">
        <v>#NULL!</v>
      </c>
      <c r="BE26" s="29" t="e">
        <v>#NULL!</v>
      </c>
      <c r="BF26" s="29" t="e">
        <v>#NULL!</v>
      </c>
      <c r="BG26" t="s">
        <v>486</v>
      </c>
      <c r="BH26" s="28">
        <v>21</v>
      </c>
      <c r="BI26" s="29" t="e">
        <v>#NULL!</v>
      </c>
      <c r="BJ26" s="29" t="e">
        <v>#NULL!</v>
      </c>
      <c r="BK26" s="29" t="e">
        <v>#NULL!</v>
      </c>
      <c r="BL26" s="28">
        <v>2</v>
      </c>
      <c r="BM26" s="28">
        <v>10</v>
      </c>
      <c r="BN26" t="s">
        <v>488</v>
      </c>
      <c r="BO26" s="28">
        <v>98</v>
      </c>
      <c r="BP26" s="29" t="e">
        <v>#NULL!</v>
      </c>
      <c r="BQ26" s="29" t="e">
        <v>#NULL!</v>
      </c>
      <c r="BR26" s="29" t="e">
        <v>#NULL!</v>
      </c>
      <c r="BS26" s="28">
        <v>8</v>
      </c>
      <c r="BT26" t="s">
        <v>258</v>
      </c>
      <c r="BU26" s="28">
        <v>97</v>
      </c>
      <c r="BV26" s="29" t="e">
        <v>#NULL!</v>
      </c>
      <c r="BW26" s="29" t="e">
        <v>#NULL!</v>
      </c>
      <c r="BX26" s="29" t="e">
        <v>#NULL!</v>
      </c>
      <c r="BZ26" s="29" t="e">
        <v>#NULL!</v>
      </c>
      <c r="CA26" s="29" t="e">
        <v>#NULL!</v>
      </c>
      <c r="CB26" s="29" t="e">
        <v>#NULL!</v>
      </c>
      <c r="CC26" s="28">
        <v>2</v>
      </c>
      <c r="CD26" s="29" t="e">
        <v>#NULL!</v>
      </c>
      <c r="CE26" s="28">
        <v>2</v>
      </c>
      <c r="CF26" s="29" t="e">
        <v>#NULL!</v>
      </c>
      <c r="CG26" s="29" t="e">
        <v>#NULL!</v>
      </c>
      <c r="CI26" s="29" t="e">
        <v>#NULL!</v>
      </c>
      <c r="CJ26" s="29" t="e">
        <v>#NULL!</v>
      </c>
      <c r="CK26" s="29" t="e">
        <v>#NULL!</v>
      </c>
      <c r="CL26" s="29" t="e">
        <v>#NULL!</v>
      </c>
      <c r="CN26" s="29" t="e">
        <v>#NULL!</v>
      </c>
      <c r="CO26" s="29" t="e">
        <v>#NULL!</v>
      </c>
      <c r="CP26" s="29" t="e">
        <v>#NULL!</v>
      </c>
      <c r="CQ26" s="28">
        <v>2</v>
      </c>
      <c r="CR26" s="29" t="e">
        <v>#NULL!</v>
      </c>
      <c r="CS26" s="28">
        <v>10</v>
      </c>
      <c r="CT26" s="28">
        <v>10</v>
      </c>
      <c r="CU26" s="28">
        <v>10</v>
      </c>
      <c r="CV26" s="28">
        <v>10</v>
      </c>
      <c r="CW26" s="28">
        <v>10</v>
      </c>
      <c r="CX26" s="28">
        <v>10</v>
      </c>
      <c r="CY26" s="28">
        <v>10</v>
      </c>
      <c r="DA26" s="29" t="e">
        <v>#NULL!</v>
      </c>
      <c r="DB26" s="29" t="e">
        <v>#NULL!</v>
      </c>
      <c r="DC26" s="28">
        <v>10</v>
      </c>
      <c r="DD26" s="29" t="e">
        <v>#NULL!</v>
      </c>
      <c r="DE26" s="29" t="e">
        <v>#NULL!</v>
      </c>
      <c r="DF26" s="29" t="e">
        <v>#NULL!</v>
      </c>
      <c r="DG26" s="29" t="e">
        <v>#NULL!</v>
      </c>
      <c r="DH26" s="29" t="e">
        <v>#NULL!</v>
      </c>
      <c r="DI26" s="29" t="e">
        <v>#NULL!</v>
      </c>
      <c r="DJ26" s="29" t="e">
        <v>#NULL!</v>
      </c>
      <c r="DK26" s="29" t="e">
        <v>#NULL!</v>
      </c>
      <c r="DL26" s="29" t="e">
        <v>#NULL!</v>
      </c>
      <c r="DN26" s="28">
        <v>1</v>
      </c>
      <c r="DP26" s="29" t="e">
        <v>#NULL!</v>
      </c>
      <c r="DQ26" s="29" t="e">
        <v>#NULL!</v>
      </c>
      <c r="DR26" s="29" t="e">
        <v>#NULL!</v>
      </c>
      <c r="DT26" s="29" t="e">
        <v>#NULL!</v>
      </c>
      <c r="DU26" s="29" t="e">
        <v>#NULL!</v>
      </c>
      <c r="DV26" s="29" t="e">
        <v>#NULL!</v>
      </c>
      <c r="DW26" s="28">
        <v>2</v>
      </c>
      <c r="DX26" s="28">
        <v>2</v>
      </c>
      <c r="DZ26" s="29" t="e">
        <v>#NULL!</v>
      </c>
      <c r="EA26" s="29" t="e">
        <v>#NULL!</v>
      </c>
      <c r="EI26" s="29" t="e">
        <v>#NULL!</v>
      </c>
      <c r="EJ26" s="29" t="e">
        <v>#NULL!</v>
      </c>
      <c r="EK26" s="29" t="e">
        <v>#NULL!</v>
      </c>
      <c r="EL26" s="29" t="e">
        <v>#NULL!</v>
      </c>
      <c r="EM26" s="28">
        <v>4</v>
      </c>
      <c r="EN26" s="28">
        <v>7</v>
      </c>
      <c r="EP26" s="28">
        <v>3</v>
      </c>
      <c r="EQ26" s="28">
        <v>2</v>
      </c>
      <c r="ER26" s="28">
        <v>2</v>
      </c>
      <c r="ES26" s="28">
        <v>78753</v>
      </c>
      <c r="ET26" s="28">
        <v>2</v>
      </c>
      <c r="EU26" s="28">
        <v>3</v>
      </c>
      <c r="EV26" s="28">
        <v>3</v>
      </c>
      <c r="EW26" s="28">
        <v>5</v>
      </c>
      <c r="EX26" s="28">
        <v>1</v>
      </c>
      <c r="EY26" t="s">
        <v>489</v>
      </c>
      <c r="EZ26" t="s">
        <v>490</v>
      </c>
      <c r="FB26" t="s">
        <v>491</v>
      </c>
      <c r="FC26" t="s">
        <v>492</v>
      </c>
      <c r="FD26" s="29" t="e">
        <v>#NULL!</v>
      </c>
      <c r="FE26" s="29" t="e">
        <v>#NULL!</v>
      </c>
      <c r="FF26" s="28">
        <v>1</v>
      </c>
      <c r="FH26" t="s">
        <v>493</v>
      </c>
      <c r="FI26" t="s">
        <v>494</v>
      </c>
    </row>
    <row r="27" spans="1:165" x14ac:dyDescent="0.15">
      <c r="A27" s="28">
        <v>150</v>
      </c>
      <c r="B27" s="28">
        <v>1</v>
      </c>
      <c r="C27" s="28">
        <v>2</v>
      </c>
      <c r="D27" s="28">
        <v>1</v>
      </c>
      <c r="E27" s="29" t="e">
        <v>#NULL!</v>
      </c>
      <c r="F27" s="28">
        <v>3</v>
      </c>
      <c r="G27" s="28">
        <v>2</v>
      </c>
      <c r="H27" s="28">
        <v>2</v>
      </c>
      <c r="J27" s="28">
        <v>1</v>
      </c>
      <c r="K27" s="28">
        <v>1</v>
      </c>
      <c r="P27" s="29" t="e">
        <v>#NULL!</v>
      </c>
      <c r="Q27" s="29" t="e">
        <v>#NULL!</v>
      </c>
      <c r="R27" s="29" t="e">
        <v>#NULL!</v>
      </c>
      <c r="S27" s="28">
        <v>6</v>
      </c>
      <c r="T27" s="28">
        <v>7</v>
      </c>
      <c r="U27" s="28">
        <v>8</v>
      </c>
      <c r="V27" s="28">
        <v>8</v>
      </c>
      <c r="W27" s="28">
        <v>7</v>
      </c>
      <c r="Y27" s="29" t="e">
        <v>#NULL!</v>
      </c>
      <c r="Z27" s="29" t="e">
        <v>#NULL!</v>
      </c>
      <c r="AA27" s="29" t="e">
        <v>#NULL!</v>
      </c>
      <c r="AB27" s="29" t="e">
        <v>#NULL!</v>
      </c>
      <c r="AD27" s="29" t="e">
        <v>#NULL!</v>
      </c>
      <c r="AE27" s="29" t="e">
        <v>#NULL!</v>
      </c>
      <c r="AF27" s="29" t="e">
        <v>#NULL!</v>
      </c>
      <c r="AG27" s="29" t="e">
        <v>#NULL!</v>
      </c>
      <c r="AI27" s="29" t="e">
        <v>#NULL!</v>
      </c>
      <c r="AJ27" s="29" t="e">
        <v>#NULL!</v>
      </c>
      <c r="AK27" s="29" t="e">
        <v>#NULL!</v>
      </c>
      <c r="AL27" s="29" t="e">
        <v>#NULL!</v>
      </c>
      <c r="AM27" t="s">
        <v>495</v>
      </c>
      <c r="AN27" s="28">
        <v>9</v>
      </c>
      <c r="AO27" s="29" t="e">
        <v>#NULL!</v>
      </c>
      <c r="AP27" s="29" t="e">
        <v>#NULL!</v>
      </c>
      <c r="AQ27" s="29" t="e">
        <v>#NULL!</v>
      </c>
      <c r="AS27" s="29" t="e">
        <v>#NULL!</v>
      </c>
      <c r="AT27" s="29" t="e">
        <v>#NULL!</v>
      </c>
      <c r="AU27" s="29" t="e">
        <v>#NULL!</v>
      </c>
      <c r="AV27" s="29" t="e">
        <v>#NULL!</v>
      </c>
      <c r="AW27" t="s">
        <v>496</v>
      </c>
      <c r="AX27" s="28">
        <v>28</v>
      </c>
      <c r="AY27" s="29" t="e">
        <v>#NULL!</v>
      </c>
      <c r="AZ27" s="29" t="e">
        <v>#NULL!</v>
      </c>
      <c r="BA27" s="29" t="e">
        <v>#NULL!</v>
      </c>
      <c r="BC27" s="29" t="e">
        <v>#NULL!</v>
      </c>
      <c r="BD27" s="29" t="e">
        <v>#NULL!</v>
      </c>
      <c r="BE27" s="29" t="e">
        <v>#NULL!</v>
      </c>
      <c r="BF27" s="29" t="e">
        <v>#NULL!</v>
      </c>
      <c r="BH27" s="29" t="e">
        <v>#NULL!</v>
      </c>
      <c r="BI27" s="29" t="e">
        <v>#NULL!</v>
      </c>
      <c r="BJ27" s="29" t="e">
        <v>#NULL!</v>
      </c>
      <c r="BK27" s="29" t="e">
        <v>#NULL!</v>
      </c>
      <c r="BL27" s="28">
        <v>2</v>
      </c>
      <c r="BM27" s="28">
        <v>7</v>
      </c>
      <c r="BN27" t="s">
        <v>497</v>
      </c>
      <c r="BO27" s="28">
        <v>99</v>
      </c>
      <c r="BP27" s="29" t="e">
        <v>#NULL!</v>
      </c>
      <c r="BQ27" s="29" t="e">
        <v>#NULL!</v>
      </c>
      <c r="BR27" s="29" t="e">
        <v>#NULL!</v>
      </c>
      <c r="BS27" s="28">
        <v>1</v>
      </c>
      <c r="BT27" t="s">
        <v>498</v>
      </c>
      <c r="BU27" s="28">
        <v>97</v>
      </c>
      <c r="BV27" s="29" t="e">
        <v>#NULL!</v>
      </c>
      <c r="BW27" s="29" t="e">
        <v>#NULL!</v>
      </c>
      <c r="BX27" s="29" t="e">
        <v>#NULL!</v>
      </c>
      <c r="BZ27" s="29" t="e">
        <v>#NULL!</v>
      </c>
      <c r="CA27" s="29" t="e">
        <v>#NULL!</v>
      </c>
      <c r="CB27" s="29" t="e">
        <v>#NULL!</v>
      </c>
      <c r="CC27" s="28">
        <v>2</v>
      </c>
      <c r="CD27" s="29" t="e">
        <v>#NULL!</v>
      </c>
      <c r="CE27" s="28">
        <v>2</v>
      </c>
      <c r="CF27" s="29" t="e">
        <v>#NULL!</v>
      </c>
      <c r="CG27" s="29" t="e">
        <v>#NULL!</v>
      </c>
      <c r="CI27" s="29" t="e">
        <v>#NULL!</v>
      </c>
      <c r="CJ27" s="29" t="e">
        <v>#NULL!</v>
      </c>
      <c r="CK27" s="29" t="e">
        <v>#NULL!</v>
      </c>
      <c r="CL27" s="29" t="e">
        <v>#NULL!</v>
      </c>
      <c r="CN27" s="29" t="e">
        <v>#NULL!</v>
      </c>
      <c r="CO27" s="29" t="e">
        <v>#NULL!</v>
      </c>
      <c r="CP27" s="29" t="e">
        <v>#NULL!</v>
      </c>
      <c r="CQ27" s="28">
        <v>2</v>
      </c>
      <c r="CR27" s="29" t="e">
        <v>#NULL!</v>
      </c>
      <c r="CS27" s="28">
        <v>1</v>
      </c>
      <c r="CT27" s="28">
        <v>1</v>
      </c>
      <c r="CU27" s="28">
        <v>1</v>
      </c>
      <c r="CV27" s="28">
        <v>1</v>
      </c>
      <c r="CW27" s="28">
        <v>1</v>
      </c>
      <c r="CX27" s="28">
        <v>1</v>
      </c>
      <c r="CY27" s="28">
        <v>1</v>
      </c>
      <c r="CZ27" t="s">
        <v>499</v>
      </c>
      <c r="DA27" s="28">
        <v>97</v>
      </c>
      <c r="DB27" s="29" t="e">
        <v>#NULL!</v>
      </c>
      <c r="DC27" s="28">
        <v>1</v>
      </c>
      <c r="DD27" s="28">
        <v>1</v>
      </c>
      <c r="DE27" s="28">
        <v>1</v>
      </c>
      <c r="DF27" s="28">
        <v>0</v>
      </c>
      <c r="DG27" s="28">
        <v>0</v>
      </c>
      <c r="DH27" s="28">
        <v>0</v>
      </c>
      <c r="DI27" s="28">
        <v>1</v>
      </c>
      <c r="DJ27" s="28">
        <v>0</v>
      </c>
      <c r="DK27" s="28">
        <v>0</v>
      </c>
      <c r="DL27" s="28">
        <v>1</v>
      </c>
      <c r="DM27" t="s">
        <v>500</v>
      </c>
      <c r="DN27" s="28">
        <v>2</v>
      </c>
      <c r="DO27" t="s">
        <v>501</v>
      </c>
      <c r="DP27" s="28">
        <v>4</v>
      </c>
      <c r="DQ27" s="29" t="e">
        <v>#NULL!</v>
      </c>
      <c r="DR27" s="29" t="e">
        <v>#NULL!</v>
      </c>
      <c r="DT27" s="29" t="e">
        <v>#NULL!</v>
      </c>
      <c r="DU27" s="29" t="e">
        <v>#NULL!</v>
      </c>
      <c r="DV27" s="29" t="e">
        <v>#NULL!</v>
      </c>
      <c r="DW27" s="28">
        <v>5</v>
      </c>
      <c r="DX27" s="28">
        <v>2</v>
      </c>
      <c r="DZ27" s="29" t="e">
        <v>#NULL!</v>
      </c>
      <c r="EA27" s="29" t="e">
        <v>#NULL!</v>
      </c>
      <c r="EI27" s="29" t="e">
        <v>#NULL!</v>
      </c>
      <c r="EJ27" s="29" t="e">
        <v>#NULL!</v>
      </c>
      <c r="EK27" s="29" t="e">
        <v>#NULL!</v>
      </c>
      <c r="EL27" s="29" t="e">
        <v>#NULL!</v>
      </c>
      <c r="EM27" s="28">
        <v>11</v>
      </c>
      <c r="EN27" s="28">
        <v>7</v>
      </c>
      <c r="EP27" s="28">
        <v>7</v>
      </c>
      <c r="EQ27" s="28">
        <v>3</v>
      </c>
      <c r="ER27" s="28">
        <v>3</v>
      </c>
      <c r="ES27" s="28">
        <v>78744</v>
      </c>
      <c r="ET27" s="28">
        <v>7</v>
      </c>
      <c r="EU27" s="28">
        <v>6</v>
      </c>
      <c r="EV27" s="28">
        <v>8</v>
      </c>
      <c r="EW27" s="28">
        <v>5</v>
      </c>
      <c r="EX27" s="28">
        <v>4</v>
      </c>
      <c r="EY27" t="s">
        <v>502</v>
      </c>
      <c r="EZ27" t="s">
        <v>503</v>
      </c>
      <c r="FB27" t="s">
        <v>504</v>
      </c>
      <c r="FC27" t="s">
        <v>505</v>
      </c>
      <c r="FD27" s="29" t="e">
        <v>#NULL!</v>
      </c>
      <c r="FE27" s="29" t="e">
        <v>#NULL!</v>
      </c>
      <c r="FF27" s="28">
        <v>2</v>
      </c>
      <c r="FH27" t="s">
        <v>506</v>
      </c>
      <c r="FI27" t="s">
        <v>507</v>
      </c>
    </row>
    <row r="28" spans="1:165" x14ac:dyDescent="0.15">
      <c r="A28" s="28">
        <v>164</v>
      </c>
      <c r="B28" s="28">
        <v>1</v>
      </c>
      <c r="C28" s="28">
        <v>2</v>
      </c>
      <c r="D28" s="28">
        <v>1</v>
      </c>
      <c r="E28" s="29" t="e">
        <v>#NULL!</v>
      </c>
      <c r="F28" s="28">
        <v>2</v>
      </c>
      <c r="G28" s="28">
        <v>2</v>
      </c>
      <c r="H28" s="28">
        <v>2</v>
      </c>
      <c r="J28" s="28">
        <v>1</v>
      </c>
      <c r="K28" s="28">
        <v>3</v>
      </c>
      <c r="P28" s="29" t="e">
        <v>#NULL!</v>
      </c>
      <c r="Q28" s="29" t="e">
        <v>#NULL!</v>
      </c>
      <c r="R28" s="29" t="e">
        <v>#NULL!</v>
      </c>
      <c r="S28" s="29" t="e">
        <v>#NULL!</v>
      </c>
      <c r="T28" s="28">
        <v>10</v>
      </c>
      <c r="U28" s="28">
        <v>10</v>
      </c>
      <c r="V28" s="28">
        <v>10</v>
      </c>
      <c r="W28" s="28">
        <v>10</v>
      </c>
      <c r="Y28" s="29" t="e">
        <v>#NULL!</v>
      </c>
      <c r="Z28" s="29" t="e">
        <v>#NULL!</v>
      </c>
      <c r="AA28" s="29" t="e">
        <v>#NULL!</v>
      </c>
      <c r="AB28" s="29" t="e">
        <v>#NULL!</v>
      </c>
      <c r="AC28" t="s">
        <v>508</v>
      </c>
      <c r="AD28" s="28">
        <v>20</v>
      </c>
      <c r="AE28" s="29" t="e">
        <v>#NULL!</v>
      </c>
      <c r="AF28" s="29" t="e">
        <v>#NULL!</v>
      </c>
      <c r="AG28" s="29" t="e">
        <v>#NULL!</v>
      </c>
      <c r="AI28" s="29" t="e">
        <v>#NULL!</v>
      </c>
      <c r="AJ28" s="29" t="e">
        <v>#NULL!</v>
      </c>
      <c r="AK28" s="29" t="e">
        <v>#NULL!</v>
      </c>
      <c r="AL28" s="29" t="e">
        <v>#NULL!</v>
      </c>
      <c r="AM28" t="s">
        <v>509</v>
      </c>
      <c r="AN28" s="28">
        <v>25</v>
      </c>
      <c r="AO28" s="29" t="e">
        <v>#NULL!</v>
      </c>
      <c r="AP28" s="29" t="e">
        <v>#NULL!</v>
      </c>
      <c r="AQ28" s="29" t="e">
        <v>#NULL!</v>
      </c>
      <c r="AS28" s="29" t="e">
        <v>#NULL!</v>
      </c>
      <c r="AT28" s="29" t="e">
        <v>#NULL!</v>
      </c>
      <c r="AU28" s="29" t="e">
        <v>#NULL!</v>
      </c>
      <c r="AV28" s="29" t="e">
        <v>#NULL!</v>
      </c>
      <c r="AW28" t="s">
        <v>510</v>
      </c>
      <c r="AX28" s="28">
        <v>20</v>
      </c>
      <c r="AY28" s="29" t="e">
        <v>#NULL!</v>
      </c>
      <c r="AZ28" s="29" t="e">
        <v>#NULL!</v>
      </c>
      <c r="BA28" s="29" t="e">
        <v>#NULL!</v>
      </c>
      <c r="BC28" s="29" t="e">
        <v>#NULL!</v>
      </c>
      <c r="BD28" s="29" t="e">
        <v>#NULL!</v>
      </c>
      <c r="BE28" s="29" t="e">
        <v>#NULL!</v>
      </c>
      <c r="BF28" s="29" t="e">
        <v>#NULL!</v>
      </c>
      <c r="BG28" t="s">
        <v>511</v>
      </c>
      <c r="BH28" s="28">
        <v>21</v>
      </c>
      <c r="BI28" s="29" t="e">
        <v>#NULL!</v>
      </c>
      <c r="BJ28" s="29" t="e">
        <v>#NULL!</v>
      </c>
      <c r="BK28" s="29" t="e">
        <v>#NULL!</v>
      </c>
      <c r="BL28" s="28">
        <v>1</v>
      </c>
      <c r="BM28" s="29" t="e">
        <v>#NULL!</v>
      </c>
      <c r="BO28" s="29" t="e">
        <v>#NULL!</v>
      </c>
      <c r="BP28" s="29" t="e">
        <v>#NULL!</v>
      </c>
      <c r="BQ28" s="29" t="e">
        <v>#NULL!</v>
      </c>
      <c r="BR28" s="29" t="e">
        <v>#NULL!</v>
      </c>
      <c r="BS28" s="29" t="e">
        <v>#NULL!</v>
      </c>
      <c r="BU28" s="29" t="e">
        <v>#NULL!</v>
      </c>
      <c r="BV28" s="29" t="e">
        <v>#NULL!</v>
      </c>
      <c r="BW28" s="29" t="e">
        <v>#NULL!</v>
      </c>
      <c r="BX28" s="29" t="e">
        <v>#NULL!</v>
      </c>
      <c r="BZ28" s="29" t="e">
        <v>#NULL!</v>
      </c>
      <c r="CA28" s="29" t="e">
        <v>#NULL!</v>
      </c>
      <c r="CB28" s="29" t="e">
        <v>#NULL!</v>
      </c>
      <c r="CC28" s="28">
        <v>2</v>
      </c>
      <c r="CD28" s="29" t="e">
        <v>#NULL!</v>
      </c>
      <c r="CE28" s="28">
        <v>2</v>
      </c>
      <c r="CF28" s="29" t="e">
        <v>#NULL!</v>
      </c>
      <c r="CG28" s="29" t="e">
        <v>#NULL!</v>
      </c>
      <c r="CI28" s="29" t="e">
        <v>#NULL!</v>
      </c>
      <c r="CJ28" s="29" t="e">
        <v>#NULL!</v>
      </c>
      <c r="CK28" s="29" t="e">
        <v>#NULL!</v>
      </c>
      <c r="CL28" s="29" t="e">
        <v>#NULL!</v>
      </c>
      <c r="CN28" s="29" t="e">
        <v>#NULL!</v>
      </c>
      <c r="CO28" s="29" t="e">
        <v>#NULL!</v>
      </c>
      <c r="CP28" s="29" t="e">
        <v>#NULL!</v>
      </c>
      <c r="CQ28" s="28">
        <v>2</v>
      </c>
      <c r="CR28" s="29" t="e">
        <v>#NULL!</v>
      </c>
      <c r="CS28" s="28">
        <v>10</v>
      </c>
      <c r="CT28" s="28">
        <v>10</v>
      </c>
      <c r="CU28" s="28">
        <v>10</v>
      </c>
      <c r="CV28" s="28">
        <v>10</v>
      </c>
      <c r="CW28" s="28">
        <v>10</v>
      </c>
      <c r="CX28" s="28">
        <v>10</v>
      </c>
      <c r="CY28" s="28">
        <v>10</v>
      </c>
      <c r="DA28" s="29" t="e">
        <v>#NULL!</v>
      </c>
      <c r="DB28" s="29" t="e">
        <v>#NULL!</v>
      </c>
      <c r="DC28" s="28">
        <v>10</v>
      </c>
      <c r="DD28" s="29" t="e">
        <v>#NULL!</v>
      </c>
      <c r="DE28" s="29" t="e">
        <v>#NULL!</v>
      </c>
      <c r="DF28" s="29" t="e">
        <v>#NULL!</v>
      </c>
      <c r="DG28" s="29" t="e">
        <v>#NULL!</v>
      </c>
      <c r="DH28" s="29" t="e">
        <v>#NULL!</v>
      </c>
      <c r="DI28" s="29" t="e">
        <v>#NULL!</v>
      </c>
      <c r="DJ28" s="29" t="e">
        <v>#NULL!</v>
      </c>
      <c r="DK28" s="29" t="e">
        <v>#NULL!</v>
      </c>
      <c r="DL28" s="29" t="e">
        <v>#NULL!</v>
      </c>
      <c r="DN28" s="28">
        <v>1</v>
      </c>
      <c r="DP28" s="29" t="e">
        <v>#NULL!</v>
      </c>
      <c r="DQ28" s="29" t="e">
        <v>#NULL!</v>
      </c>
      <c r="DR28" s="29" t="e">
        <v>#NULL!</v>
      </c>
      <c r="DT28" s="29" t="e">
        <v>#NULL!</v>
      </c>
      <c r="DU28" s="29" t="e">
        <v>#NULL!</v>
      </c>
      <c r="DV28" s="29" t="e">
        <v>#NULL!</v>
      </c>
      <c r="DW28" s="28">
        <v>3</v>
      </c>
      <c r="DX28" s="28">
        <v>2</v>
      </c>
      <c r="DZ28" s="29" t="e">
        <v>#NULL!</v>
      </c>
      <c r="EA28" s="29" t="e">
        <v>#NULL!</v>
      </c>
      <c r="EI28" s="29" t="e">
        <v>#NULL!</v>
      </c>
      <c r="EJ28" s="29" t="e">
        <v>#NULL!</v>
      </c>
      <c r="EK28" s="29" t="e">
        <v>#NULL!</v>
      </c>
      <c r="EL28" s="29" t="e">
        <v>#NULL!</v>
      </c>
      <c r="EM28" s="28">
        <v>4</v>
      </c>
      <c r="EN28" s="28">
        <v>2</v>
      </c>
      <c r="EP28" s="28">
        <v>6</v>
      </c>
      <c r="EQ28" s="28">
        <v>2</v>
      </c>
      <c r="ER28" s="28">
        <v>1</v>
      </c>
      <c r="ES28" s="28">
        <v>78759</v>
      </c>
      <c r="ET28" s="28">
        <v>2</v>
      </c>
      <c r="EU28" s="28">
        <v>4</v>
      </c>
      <c r="EV28" s="28">
        <v>1</v>
      </c>
      <c r="EW28" s="28">
        <v>5</v>
      </c>
      <c r="EX28" s="28">
        <v>2</v>
      </c>
      <c r="EY28" t="s">
        <v>512</v>
      </c>
      <c r="EZ28" t="s">
        <v>513</v>
      </c>
      <c r="FB28" t="s">
        <v>514</v>
      </c>
      <c r="FC28" t="s">
        <v>515</v>
      </c>
      <c r="FD28" s="29" t="e">
        <v>#NULL!</v>
      </c>
      <c r="FE28" s="29" t="e">
        <v>#NULL!</v>
      </c>
      <c r="FF28" s="28">
        <v>2</v>
      </c>
      <c r="FH28" t="s">
        <v>516</v>
      </c>
      <c r="FI28" t="s">
        <v>517</v>
      </c>
    </row>
    <row r="29" spans="1:165" x14ac:dyDescent="0.15">
      <c r="A29" s="28">
        <v>173</v>
      </c>
      <c r="B29" s="28">
        <v>1</v>
      </c>
      <c r="C29" s="28">
        <v>2</v>
      </c>
      <c r="D29" s="28">
        <v>1</v>
      </c>
      <c r="E29" s="29" t="e">
        <v>#NULL!</v>
      </c>
      <c r="F29" s="28">
        <v>2</v>
      </c>
      <c r="G29" s="28">
        <v>2</v>
      </c>
      <c r="H29" s="28">
        <v>2</v>
      </c>
      <c r="J29" s="28">
        <v>1</v>
      </c>
      <c r="K29" s="28">
        <v>10</v>
      </c>
      <c r="P29" s="29" t="e">
        <v>#NULL!</v>
      </c>
      <c r="Q29" s="29" t="e">
        <v>#NULL!</v>
      </c>
      <c r="R29" s="29" t="e">
        <v>#NULL!</v>
      </c>
      <c r="S29" s="29" t="e">
        <v>#NULL!</v>
      </c>
      <c r="T29" s="28">
        <v>5</v>
      </c>
      <c r="U29" s="28">
        <v>11</v>
      </c>
      <c r="V29" s="28">
        <v>11</v>
      </c>
      <c r="W29" s="28">
        <v>5</v>
      </c>
      <c r="Y29" s="29" t="e">
        <v>#NULL!</v>
      </c>
      <c r="Z29" s="29" t="e">
        <v>#NULL!</v>
      </c>
      <c r="AA29" s="29" t="e">
        <v>#NULL!</v>
      </c>
      <c r="AB29" s="29" t="e">
        <v>#NULL!</v>
      </c>
      <c r="AD29" s="29" t="e">
        <v>#NULL!</v>
      </c>
      <c r="AE29" s="29" t="e">
        <v>#NULL!</v>
      </c>
      <c r="AF29" s="29" t="e">
        <v>#NULL!</v>
      </c>
      <c r="AG29" s="29" t="e">
        <v>#NULL!</v>
      </c>
      <c r="AI29" s="29" t="e">
        <v>#NULL!</v>
      </c>
      <c r="AJ29" s="29" t="e">
        <v>#NULL!</v>
      </c>
      <c r="AK29" s="29" t="e">
        <v>#NULL!</v>
      </c>
      <c r="AL29" s="29" t="e">
        <v>#NULL!</v>
      </c>
      <c r="AN29" s="29" t="e">
        <v>#NULL!</v>
      </c>
      <c r="AO29" s="29" t="e">
        <v>#NULL!</v>
      </c>
      <c r="AP29" s="29" t="e">
        <v>#NULL!</v>
      </c>
      <c r="AQ29" s="29" t="e">
        <v>#NULL!</v>
      </c>
      <c r="AS29" s="29" t="e">
        <v>#NULL!</v>
      </c>
      <c r="AT29" s="29" t="e">
        <v>#NULL!</v>
      </c>
      <c r="AU29" s="29" t="e">
        <v>#NULL!</v>
      </c>
      <c r="AV29" s="29" t="e">
        <v>#NULL!</v>
      </c>
      <c r="AX29" s="29" t="e">
        <v>#NULL!</v>
      </c>
      <c r="AY29" s="29" t="e">
        <v>#NULL!</v>
      </c>
      <c r="AZ29" s="29" t="e">
        <v>#NULL!</v>
      </c>
      <c r="BA29" s="29" t="e">
        <v>#NULL!</v>
      </c>
      <c r="BC29" s="29" t="e">
        <v>#NULL!</v>
      </c>
      <c r="BD29" s="29" t="e">
        <v>#NULL!</v>
      </c>
      <c r="BE29" s="29" t="e">
        <v>#NULL!</v>
      </c>
      <c r="BF29" s="29" t="e">
        <v>#NULL!</v>
      </c>
      <c r="BH29" s="29" t="e">
        <v>#NULL!</v>
      </c>
      <c r="BI29" s="29" t="e">
        <v>#NULL!</v>
      </c>
      <c r="BJ29" s="29" t="e">
        <v>#NULL!</v>
      </c>
      <c r="BK29" s="29" t="e">
        <v>#NULL!</v>
      </c>
      <c r="BL29" s="28">
        <v>1</v>
      </c>
      <c r="BM29" s="29" t="e">
        <v>#NULL!</v>
      </c>
      <c r="BO29" s="29" t="e">
        <v>#NULL!</v>
      </c>
      <c r="BP29" s="29" t="e">
        <v>#NULL!</v>
      </c>
      <c r="BQ29" s="29" t="e">
        <v>#NULL!</v>
      </c>
      <c r="BR29" s="29" t="e">
        <v>#NULL!</v>
      </c>
      <c r="BS29" s="29" t="e">
        <v>#NULL!</v>
      </c>
      <c r="BU29" s="29" t="e">
        <v>#NULL!</v>
      </c>
      <c r="BV29" s="29" t="e">
        <v>#NULL!</v>
      </c>
      <c r="BW29" s="29" t="e">
        <v>#NULL!</v>
      </c>
      <c r="BX29" s="29" t="e">
        <v>#NULL!</v>
      </c>
      <c r="BZ29" s="29" t="e">
        <v>#NULL!</v>
      </c>
      <c r="CA29" s="29" t="e">
        <v>#NULL!</v>
      </c>
      <c r="CB29" s="29" t="e">
        <v>#NULL!</v>
      </c>
      <c r="CC29" s="28">
        <v>2</v>
      </c>
      <c r="CD29" s="29" t="e">
        <v>#NULL!</v>
      </c>
      <c r="CE29" s="28">
        <v>2</v>
      </c>
      <c r="CF29" s="29" t="e">
        <v>#NULL!</v>
      </c>
      <c r="CG29" s="29" t="e">
        <v>#NULL!</v>
      </c>
      <c r="CI29" s="29" t="e">
        <v>#NULL!</v>
      </c>
      <c r="CJ29" s="29" t="e">
        <v>#NULL!</v>
      </c>
      <c r="CK29" s="29" t="e">
        <v>#NULL!</v>
      </c>
      <c r="CL29" s="29" t="e">
        <v>#NULL!</v>
      </c>
      <c r="CN29" s="29" t="e">
        <v>#NULL!</v>
      </c>
      <c r="CO29" s="29" t="e">
        <v>#NULL!</v>
      </c>
      <c r="CP29" s="29" t="e">
        <v>#NULL!</v>
      </c>
      <c r="CQ29" s="28">
        <v>2</v>
      </c>
      <c r="CR29" s="29" t="e">
        <v>#NULL!</v>
      </c>
      <c r="CS29" s="28">
        <v>10</v>
      </c>
      <c r="CT29" s="28">
        <v>8</v>
      </c>
      <c r="CU29" s="28">
        <v>10</v>
      </c>
      <c r="CV29" s="28">
        <v>8</v>
      </c>
      <c r="CW29" s="28">
        <v>10</v>
      </c>
      <c r="CX29" s="28">
        <v>10</v>
      </c>
      <c r="CY29" s="28">
        <v>9</v>
      </c>
      <c r="DA29" s="29" t="e">
        <v>#NULL!</v>
      </c>
      <c r="DB29" s="29" t="e">
        <v>#NULL!</v>
      </c>
      <c r="DC29" s="28">
        <v>4</v>
      </c>
      <c r="DD29" s="28">
        <v>0</v>
      </c>
      <c r="DE29" s="28">
        <v>1</v>
      </c>
      <c r="DF29" s="28">
        <v>0</v>
      </c>
      <c r="DG29" s="28">
        <v>0</v>
      </c>
      <c r="DH29" s="28">
        <v>0</v>
      </c>
      <c r="DI29" s="28">
        <v>1</v>
      </c>
      <c r="DJ29" s="28">
        <v>0</v>
      </c>
      <c r="DK29" s="28">
        <v>0</v>
      </c>
      <c r="DL29" s="28">
        <v>0</v>
      </c>
      <c r="DN29" s="28">
        <v>3</v>
      </c>
      <c r="DO29" t="s">
        <v>518</v>
      </c>
      <c r="DP29" s="28">
        <v>3</v>
      </c>
      <c r="DQ29" s="29" t="e">
        <v>#NULL!</v>
      </c>
      <c r="DR29" s="29" t="e">
        <v>#NULL!</v>
      </c>
      <c r="DT29" s="29" t="e">
        <v>#NULL!</v>
      </c>
      <c r="DU29" s="29" t="e">
        <v>#NULL!</v>
      </c>
      <c r="DV29" s="29" t="e">
        <v>#NULL!</v>
      </c>
      <c r="DW29" s="28">
        <v>1</v>
      </c>
      <c r="DX29" s="28">
        <v>2</v>
      </c>
      <c r="DZ29" s="29" t="e">
        <v>#NULL!</v>
      </c>
      <c r="EA29" s="29" t="e">
        <v>#NULL!</v>
      </c>
      <c r="EI29" s="29" t="e">
        <v>#NULL!</v>
      </c>
      <c r="EJ29" s="29" t="e">
        <v>#NULL!</v>
      </c>
      <c r="EK29" s="29" t="e">
        <v>#NULL!</v>
      </c>
      <c r="EL29" s="29" t="e">
        <v>#NULL!</v>
      </c>
      <c r="EM29" s="28">
        <v>3</v>
      </c>
      <c r="EN29" s="28">
        <v>1</v>
      </c>
      <c r="EP29" s="28">
        <v>1</v>
      </c>
      <c r="EQ29" s="28">
        <v>3</v>
      </c>
      <c r="ER29" s="28">
        <v>1</v>
      </c>
      <c r="ES29" s="28">
        <v>78745</v>
      </c>
      <c r="ET29" s="28">
        <v>3</v>
      </c>
      <c r="EU29" s="28">
        <v>3</v>
      </c>
      <c r="EV29" s="28">
        <v>3</v>
      </c>
      <c r="EW29" s="28">
        <v>5</v>
      </c>
      <c r="EX29" s="28">
        <v>2</v>
      </c>
      <c r="EY29" t="s">
        <v>519</v>
      </c>
      <c r="EZ29" t="s">
        <v>520</v>
      </c>
      <c r="FB29" t="s">
        <v>521</v>
      </c>
      <c r="FC29" t="s">
        <v>522</v>
      </c>
      <c r="FD29" s="29" t="e">
        <v>#NULL!</v>
      </c>
      <c r="FE29" s="29" t="e">
        <v>#NULL!</v>
      </c>
      <c r="FF29" s="28">
        <v>1</v>
      </c>
      <c r="FH29" t="s">
        <v>523</v>
      </c>
      <c r="FI29" t="s">
        <v>524</v>
      </c>
    </row>
    <row r="30" spans="1:165" x14ac:dyDescent="0.15">
      <c r="A30" s="28">
        <v>176</v>
      </c>
      <c r="B30" s="28">
        <v>1</v>
      </c>
      <c r="C30" s="28">
        <v>2</v>
      </c>
      <c r="D30" s="28">
        <v>1</v>
      </c>
      <c r="E30" s="29" t="e">
        <v>#NULL!</v>
      </c>
      <c r="F30" s="28">
        <v>2</v>
      </c>
      <c r="G30" s="28">
        <v>2</v>
      </c>
      <c r="H30" s="28">
        <v>2</v>
      </c>
      <c r="J30" s="28">
        <v>1</v>
      </c>
      <c r="K30" s="28">
        <v>23</v>
      </c>
      <c r="P30" s="29" t="e">
        <v>#NULL!</v>
      </c>
      <c r="Q30" s="29" t="e">
        <v>#NULL!</v>
      </c>
      <c r="R30" s="29" t="e">
        <v>#NULL!</v>
      </c>
      <c r="S30" s="29" t="e">
        <v>#NULL!</v>
      </c>
      <c r="T30" s="28">
        <v>1</v>
      </c>
      <c r="U30" s="28">
        <v>1</v>
      </c>
      <c r="V30" s="28">
        <v>1</v>
      </c>
      <c r="W30" s="28">
        <v>1</v>
      </c>
      <c r="X30" t="s">
        <v>525</v>
      </c>
      <c r="Y30" s="28">
        <v>5</v>
      </c>
      <c r="Z30" s="29" t="e">
        <v>#NULL!</v>
      </c>
      <c r="AA30" s="29" t="e">
        <v>#NULL!</v>
      </c>
      <c r="AB30" s="29" t="e">
        <v>#NULL!</v>
      </c>
      <c r="AD30" s="29" t="e">
        <v>#NULL!</v>
      </c>
      <c r="AE30" s="29" t="e">
        <v>#NULL!</v>
      </c>
      <c r="AF30" s="29" t="e">
        <v>#NULL!</v>
      </c>
      <c r="AG30" s="29" t="e">
        <v>#NULL!</v>
      </c>
      <c r="AH30" t="s">
        <v>525</v>
      </c>
      <c r="AI30" s="28">
        <v>5</v>
      </c>
      <c r="AJ30" s="29" t="e">
        <v>#NULL!</v>
      </c>
      <c r="AK30" s="29" t="e">
        <v>#NULL!</v>
      </c>
      <c r="AL30" s="29" t="e">
        <v>#NULL!</v>
      </c>
      <c r="AN30" s="29" t="e">
        <v>#NULL!</v>
      </c>
      <c r="AO30" s="29" t="e">
        <v>#NULL!</v>
      </c>
      <c r="AP30" s="29" t="e">
        <v>#NULL!</v>
      </c>
      <c r="AQ30" s="29" t="e">
        <v>#NULL!</v>
      </c>
      <c r="AR30" t="s">
        <v>525</v>
      </c>
      <c r="AS30" s="28">
        <v>5</v>
      </c>
      <c r="AT30" s="29" t="e">
        <v>#NULL!</v>
      </c>
      <c r="AU30" s="29" t="e">
        <v>#NULL!</v>
      </c>
      <c r="AV30" s="29" t="e">
        <v>#NULL!</v>
      </c>
      <c r="AX30" s="29" t="e">
        <v>#NULL!</v>
      </c>
      <c r="AY30" s="29" t="e">
        <v>#NULL!</v>
      </c>
      <c r="AZ30" s="29" t="e">
        <v>#NULL!</v>
      </c>
      <c r="BA30" s="29" t="e">
        <v>#NULL!</v>
      </c>
      <c r="BB30" t="s">
        <v>525</v>
      </c>
      <c r="BC30" s="28">
        <v>5</v>
      </c>
      <c r="BD30" s="29" t="e">
        <v>#NULL!</v>
      </c>
      <c r="BE30" s="29" t="e">
        <v>#NULL!</v>
      </c>
      <c r="BF30" s="29" t="e">
        <v>#NULL!</v>
      </c>
      <c r="BH30" s="29" t="e">
        <v>#NULL!</v>
      </c>
      <c r="BI30" s="29" t="e">
        <v>#NULL!</v>
      </c>
      <c r="BJ30" s="29" t="e">
        <v>#NULL!</v>
      </c>
      <c r="BK30" s="29" t="e">
        <v>#NULL!</v>
      </c>
      <c r="BL30" s="28">
        <v>3</v>
      </c>
      <c r="BM30" s="28">
        <v>8</v>
      </c>
      <c r="BN30" t="s">
        <v>526</v>
      </c>
      <c r="BO30" s="28">
        <v>99</v>
      </c>
      <c r="BP30" s="29" t="e">
        <v>#NULL!</v>
      </c>
      <c r="BQ30" s="29" t="e">
        <v>#NULL!</v>
      </c>
      <c r="BR30" s="29" t="e">
        <v>#NULL!</v>
      </c>
      <c r="BS30" s="28">
        <v>1</v>
      </c>
      <c r="BT30" t="s">
        <v>527</v>
      </c>
      <c r="BU30" s="28">
        <v>99</v>
      </c>
      <c r="BV30" s="29" t="e">
        <v>#NULL!</v>
      </c>
      <c r="BW30" s="29" t="e">
        <v>#NULL!</v>
      </c>
      <c r="BX30" s="29" t="e">
        <v>#NULL!</v>
      </c>
      <c r="BZ30" s="29" t="e">
        <v>#NULL!</v>
      </c>
      <c r="CA30" s="29" t="e">
        <v>#NULL!</v>
      </c>
      <c r="CB30" s="29" t="e">
        <v>#NULL!</v>
      </c>
      <c r="CC30" s="28">
        <v>1</v>
      </c>
      <c r="CD30" s="28">
        <v>1</v>
      </c>
      <c r="CE30" s="28">
        <v>1</v>
      </c>
      <c r="CF30" s="28">
        <v>1</v>
      </c>
      <c r="CG30" s="28">
        <v>2</v>
      </c>
      <c r="CH30" t="s">
        <v>528</v>
      </c>
      <c r="CI30" s="28">
        <v>2</v>
      </c>
      <c r="CJ30" s="29" t="e">
        <v>#NULL!</v>
      </c>
      <c r="CK30" s="29" t="e">
        <v>#NULL!</v>
      </c>
      <c r="CL30" s="28">
        <v>1</v>
      </c>
      <c r="CM30" t="s">
        <v>525</v>
      </c>
      <c r="CN30" s="28">
        <v>7</v>
      </c>
      <c r="CO30" s="29" t="e">
        <v>#NULL!</v>
      </c>
      <c r="CP30" s="29" t="e">
        <v>#NULL!</v>
      </c>
      <c r="CQ30" s="28">
        <v>1</v>
      </c>
      <c r="CR30" s="28">
        <v>1</v>
      </c>
      <c r="CS30" s="28">
        <v>1</v>
      </c>
      <c r="CT30" s="28">
        <v>1</v>
      </c>
      <c r="CU30" s="28">
        <v>1</v>
      </c>
      <c r="CV30" s="28">
        <v>1</v>
      </c>
      <c r="CW30" s="28">
        <v>1</v>
      </c>
      <c r="CX30" s="28">
        <v>1</v>
      </c>
      <c r="CY30" s="28">
        <v>1</v>
      </c>
      <c r="CZ30" t="s">
        <v>525</v>
      </c>
      <c r="DA30" s="28">
        <v>5</v>
      </c>
      <c r="DB30" s="29" t="e">
        <v>#NULL!</v>
      </c>
      <c r="DC30" s="28">
        <v>1</v>
      </c>
      <c r="DD30" s="28">
        <v>1</v>
      </c>
      <c r="DE30" s="28">
        <v>1</v>
      </c>
      <c r="DF30" s="28">
        <v>0</v>
      </c>
      <c r="DG30" s="28">
        <v>0</v>
      </c>
      <c r="DH30" s="28">
        <v>0</v>
      </c>
      <c r="DI30" s="28">
        <v>1</v>
      </c>
      <c r="DJ30" s="28">
        <v>0</v>
      </c>
      <c r="DK30" s="28">
        <v>1</v>
      </c>
      <c r="DL30" s="28">
        <v>0</v>
      </c>
      <c r="DN30" s="28">
        <v>2</v>
      </c>
      <c r="DO30" t="s">
        <v>529</v>
      </c>
      <c r="DP30" s="28">
        <v>3</v>
      </c>
      <c r="DQ30" s="29" t="e">
        <v>#NULL!</v>
      </c>
      <c r="DR30" s="29" t="e">
        <v>#NULL!</v>
      </c>
      <c r="DT30" s="29" t="e">
        <v>#NULL!</v>
      </c>
      <c r="DU30" s="29" t="e">
        <v>#NULL!</v>
      </c>
      <c r="DV30" s="29" t="e">
        <v>#NULL!</v>
      </c>
      <c r="DW30" s="28">
        <v>1</v>
      </c>
      <c r="DX30" s="28">
        <v>2</v>
      </c>
      <c r="DZ30" s="29" t="e">
        <v>#NULL!</v>
      </c>
      <c r="EA30" s="29" t="e">
        <v>#NULL!</v>
      </c>
      <c r="EI30" s="29" t="e">
        <v>#NULL!</v>
      </c>
      <c r="EJ30" s="29" t="e">
        <v>#NULL!</v>
      </c>
      <c r="EK30" s="29" t="e">
        <v>#NULL!</v>
      </c>
      <c r="EL30" s="29" t="e">
        <v>#NULL!</v>
      </c>
      <c r="EM30" s="28">
        <v>11</v>
      </c>
      <c r="EN30" s="28">
        <v>7</v>
      </c>
      <c r="EP30" s="28">
        <v>7</v>
      </c>
      <c r="EQ30" s="28">
        <v>5</v>
      </c>
      <c r="ER30" s="28">
        <v>3</v>
      </c>
      <c r="ES30" s="28">
        <v>78750</v>
      </c>
      <c r="ET30" s="28">
        <v>7</v>
      </c>
      <c r="EU30" s="28">
        <v>6</v>
      </c>
      <c r="EV30" s="28">
        <v>8</v>
      </c>
      <c r="EW30" s="28">
        <v>6</v>
      </c>
      <c r="EX30" s="28">
        <v>4</v>
      </c>
      <c r="EY30" t="s">
        <v>530</v>
      </c>
      <c r="EZ30" t="s">
        <v>531</v>
      </c>
      <c r="FB30" t="s">
        <v>532</v>
      </c>
      <c r="FC30" t="s">
        <v>533</v>
      </c>
      <c r="FD30" s="29" t="e">
        <v>#NULL!</v>
      </c>
      <c r="FE30" s="29" t="e">
        <v>#NULL!</v>
      </c>
      <c r="FF30" s="28">
        <v>1</v>
      </c>
      <c r="FH30" t="s">
        <v>534</v>
      </c>
      <c r="FI30" t="s">
        <v>535</v>
      </c>
    </row>
    <row r="31" spans="1:165" x14ac:dyDescent="0.15">
      <c r="A31" s="28">
        <v>190</v>
      </c>
      <c r="B31" s="28">
        <v>1</v>
      </c>
      <c r="C31" s="28">
        <v>2</v>
      </c>
      <c r="D31" s="28">
        <v>1</v>
      </c>
      <c r="E31" s="29" t="e">
        <v>#NULL!</v>
      </c>
      <c r="F31" s="28">
        <v>2</v>
      </c>
      <c r="G31" s="28">
        <v>2</v>
      </c>
      <c r="H31" s="28">
        <v>2</v>
      </c>
      <c r="J31" s="28">
        <v>1</v>
      </c>
      <c r="K31" s="28">
        <v>11</v>
      </c>
      <c r="P31" s="29" t="e">
        <v>#NULL!</v>
      </c>
      <c r="Q31" s="29" t="e">
        <v>#NULL!</v>
      </c>
      <c r="R31" s="29" t="e">
        <v>#NULL!</v>
      </c>
      <c r="S31" s="29" t="e">
        <v>#NULL!</v>
      </c>
      <c r="T31" s="28">
        <v>11</v>
      </c>
      <c r="U31" s="28">
        <v>4</v>
      </c>
      <c r="V31" s="28">
        <v>2</v>
      </c>
      <c r="W31" s="28">
        <v>8</v>
      </c>
      <c r="Y31" s="29" t="e">
        <v>#NULL!</v>
      </c>
      <c r="Z31" s="29" t="e">
        <v>#NULL!</v>
      </c>
      <c r="AA31" s="29" t="e">
        <v>#NULL!</v>
      </c>
      <c r="AB31" s="29" t="e">
        <v>#NULL!</v>
      </c>
      <c r="AD31" s="29" t="e">
        <v>#NULL!</v>
      </c>
      <c r="AE31" s="29" t="e">
        <v>#NULL!</v>
      </c>
      <c r="AF31" s="29" t="e">
        <v>#NULL!</v>
      </c>
      <c r="AG31" s="29" t="e">
        <v>#NULL!</v>
      </c>
      <c r="AI31" s="29" t="e">
        <v>#NULL!</v>
      </c>
      <c r="AJ31" s="29" t="e">
        <v>#NULL!</v>
      </c>
      <c r="AK31" s="29" t="e">
        <v>#NULL!</v>
      </c>
      <c r="AL31" s="29" t="e">
        <v>#NULL!</v>
      </c>
      <c r="AN31" s="29" t="e">
        <v>#NULL!</v>
      </c>
      <c r="AO31" s="29" t="e">
        <v>#NULL!</v>
      </c>
      <c r="AP31" s="29" t="e">
        <v>#NULL!</v>
      </c>
      <c r="AQ31" s="29" t="e">
        <v>#NULL!</v>
      </c>
      <c r="AR31" t="s">
        <v>536</v>
      </c>
      <c r="AS31" s="28">
        <v>3</v>
      </c>
      <c r="AT31" s="29" t="e">
        <v>#NULL!</v>
      </c>
      <c r="AU31" s="29" t="e">
        <v>#NULL!</v>
      </c>
      <c r="AV31" s="29" t="e">
        <v>#NULL!</v>
      </c>
      <c r="AX31" s="29" t="e">
        <v>#NULL!</v>
      </c>
      <c r="AY31" s="29" t="e">
        <v>#NULL!</v>
      </c>
      <c r="AZ31" s="29" t="e">
        <v>#NULL!</v>
      </c>
      <c r="BA31" s="29" t="e">
        <v>#NULL!</v>
      </c>
      <c r="BC31" s="29" t="e">
        <v>#NULL!</v>
      </c>
      <c r="BD31" s="29" t="e">
        <v>#NULL!</v>
      </c>
      <c r="BE31" s="29" t="e">
        <v>#NULL!</v>
      </c>
      <c r="BF31" s="29" t="e">
        <v>#NULL!</v>
      </c>
      <c r="BG31" t="s">
        <v>537</v>
      </c>
      <c r="BH31" s="28">
        <v>21</v>
      </c>
      <c r="BI31" s="29" t="e">
        <v>#NULL!</v>
      </c>
      <c r="BJ31" s="29" t="e">
        <v>#NULL!</v>
      </c>
      <c r="BK31" s="29" t="e">
        <v>#NULL!</v>
      </c>
      <c r="BL31" s="28">
        <v>2</v>
      </c>
      <c r="BM31" s="28">
        <v>6</v>
      </c>
      <c r="BN31" t="s">
        <v>538</v>
      </c>
      <c r="BO31" s="28">
        <v>1</v>
      </c>
      <c r="BP31" s="28">
        <v>13</v>
      </c>
      <c r="BQ31" s="29" t="e">
        <v>#NULL!</v>
      </c>
      <c r="BR31" s="29" t="e">
        <v>#NULL!</v>
      </c>
      <c r="BS31" s="28">
        <v>10</v>
      </c>
      <c r="BT31" t="s">
        <v>539</v>
      </c>
      <c r="BU31" s="28">
        <v>21</v>
      </c>
      <c r="BV31" s="29" t="e">
        <v>#NULL!</v>
      </c>
      <c r="BW31" s="29" t="e">
        <v>#NULL!</v>
      </c>
      <c r="BX31" s="29" t="e">
        <v>#NULL!</v>
      </c>
      <c r="BZ31" s="29" t="e">
        <v>#NULL!</v>
      </c>
      <c r="CA31" s="29" t="e">
        <v>#NULL!</v>
      </c>
      <c r="CB31" s="29" t="e">
        <v>#NULL!</v>
      </c>
      <c r="CC31" s="28">
        <v>2</v>
      </c>
      <c r="CD31" s="29" t="e">
        <v>#NULL!</v>
      </c>
      <c r="CE31" s="28">
        <v>2</v>
      </c>
      <c r="CF31" s="29" t="e">
        <v>#NULL!</v>
      </c>
      <c r="CG31" s="29" t="e">
        <v>#NULL!</v>
      </c>
      <c r="CI31" s="29" t="e">
        <v>#NULL!</v>
      </c>
      <c r="CJ31" s="29" t="e">
        <v>#NULL!</v>
      </c>
      <c r="CK31" s="29" t="e">
        <v>#NULL!</v>
      </c>
      <c r="CL31" s="29" t="e">
        <v>#NULL!</v>
      </c>
      <c r="CN31" s="29" t="e">
        <v>#NULL!</v>
      </c>
      <c r="CO31" s="29" t="e">
        <v>#NULL!</v>
      </c>
      <c r="CP31" s="29" t="e">
        <v>#NULL!</v>
      </c>
      <c r="CQ31" s="28">
        <v>2</v>
      </c>
      <c r="CR31" s="29" t="e">
        <v>#NULL!</v>
      </c>
      <c r="CS31" s="28">
        <v>10</v>
      </c>
      <c r="CT31" s="28">
        <v>10</v>
      </c>
      <c r="CU31" s="28">
        <v>10</v>
      </c>
      <c r="CV31" s="28">
        <v>10</v>
      </c>
      <c r="CW31" s="28">
        <v>10</v>
      </c>
      <c r="CX31" s="28">
        <v>10</v>
      </c>
      <c r="CY31" s="28">
        <v>10</v>
      </c>
      <c r="DA31" s="29" t="e">
        <v>#NULL!</v>
      </c>
      <c r="DB31" s="29" t="e">
        <v>#NULL!</v>
      </c>
      <c r="DC31" s="28">
        <v>9</v>
      </c>
      <c r="DD31" s="29" t="e">
        <v>#NULL!</v>
      </c>
      <c r="DE31" s="29" t="e">
        <v>#NULL!</v>
      </c>
      <c r="DF31" s="29" t="e">
        <v>#NULL!</v>
      </c>
      <c r="DG31" s="29" t="e">
        <v>#NULL!</v>
      </c>
      <c r="DH31" s="29" t="e">
        <v>#NULL!</v>
      </c>
      <c r="DI31" s="29" t="e">
        <v>#NULL!</v>
      </c>
      <c r="DJ31" s="29" t="e">
        <v>#NULL!</v>
      </c>
      <c r="DK31" s="29" t="e">
        <v>#NULL!</v>
      </c>
      <c r="DL31" s="29" t="e">
        <v>#NULL!</v>
      </c>
      <c r="DN31" s="28">
        <v>1</v>
      </c>
      <c r="DP31" s="29" t="e">
        <v>#NULL!</v>
      </c>
      <c r="DQ31" s="29" t="e">
        <v>#NULL!</v>
      </c>
      <c r="DR31" s="29" t="e">
        <v>#NULL!</v>
      </c>
      <c r="DT31" s="29" t="e">
        <v>#NULL!</v>
      </c>
      <c r="DU31" s="29" t="e">
        <v>#NULL!</v>
      </c>
      <c r="DV31" s="29" t="e">
        <v>#NULL!</v>
      </c>
      <c r="DW31" s="28">
        <v>3</v>
      </c>
      <c r="DX31" s="28">
        <v>2</v>
      </c>
      <c r="DZ31" s="29" t="e">
        <v>#NULL!</v>
      </c>
      <c r="EA31" s="29" t="e">
        <v>#NULL!</v>
      </c>
      <c r="EI31" s="29" t="e">
        <v>#NULL!</v>
      </c>
      <c r="EJ31" s="29" t="e">
        <v>#NULL!</v>
      </c>
      <c r="EK31" s="29" t="e">
        <v>#NULL!</v>
      </c>
      <c r="EL31" s="29" t="e">
        <v>#NULL!</v>
      </c>
      <c r="EM31" s="28">
        <v>2</v>
      </c>
      <c r="EN31" s="28">
        <v>3</v>
      </c>
      <c r="EP31" s="28">
        <v>7</v>
      </c>
      <c r="EQ31" s="28">
        <v>2</v>
      </c>
      <c r="ER31" s="28">
        <v>1</v>
      </c>
      <c r="ES31" s="28">
        <v>78744</v>
      </c>
      <c r="ET31" s="28">
        <v>3</v>
      </c>
      <c r="EU31" s="28">
        <v>1</v>
      </c>
      <c r="EV31" s="28">
        <v>1</v>
      </c>
      <c r="EW31" s="28">
        <v>5</v>
      </c>
      <c r="EX31" s="28">
        <v>2</v>
      </c>
      <c r="EY31" t="s">
        <v>540</v>
      </c>
      <c r="EZ31" t="s">
        <v>541</v>
      </c>
      <c r="FB31" t="s">
        <v>542</v>
      </c>
      <c r="FC31" t="s">
        <v>543</v>
      </c>
      <c r="FD31" s="29" t="e">
        <v>#NULL!</v>
      </c>
      <c r="FE31" s="29" t="e">
        <v>#NULL!</v>
      </c>
      <c r="FF31" s="28">
        <v>2</v>
      </c>
      <c r="FH31" t="s">
        <v>544</v>
      </c>
      <c r="FI31" t="s">
        <v>545</v>
      </c>
    </row>
    <row r="32" spans="1:165" x14ac:dyDescent="0.15">
      <c r="A32" s="28">
        <v>206</v>
      </c>
      <c r="B32" s="28">
        <v>1</v>
      </c>
      <c r="C32" s="28">
        <v>2</v>
      </c>
      <c r="D32" s="28">
        <v>1</v>
      </c>
      <c r="E32" s="29" t="e">
        <v>#NULL!</v>
      </c>
      <c r="F32" s="28">
        <v>3</v>
      </c>
      <c r="G32" s="28">
        <v>2</v>
      </c>
      <c r="H32" s="28">
        <v>2</v>
      </c>
      <c r="J32" s="28">
        <v>2</v>
      </c>
      <c r="K32" s="28">
        <v>5</v>
      </c>
      <c r="O32" t="s">
        <v>546</v>
      </c>
      <c r="P32" s="28">
        <v>1</v>
      </c>
      <c r="Q32" s="29" t="e">
        <v>#NULL!</v>
      </c>
      <c r="R32" s="29" t="e">
        <v>#NULL!</v>
      </c>
      <c r="S32" s="29" t="e">
        <v>#NULL!</v>
      </c>
      <c r="T32" s="28">
        <v>1</v>
      </c>
      <c r="U32" s="28">
        <v>1</v>
      </c>
      <c r="V32" s="28">
        <v>1</v>
      </c>
      <c r="W32" s="28">
        <v>3</v>
      </c>
      <c r="X32" t="s">
        <v>547</v>
      </c>
      <c r="Y32" s="28">
        <v>99</v>
      </c>
      <c r="Z32" s="29" t="e">
        <v>#NULL!</v>
      </c>
      <c r="AA32" s="29" t="e">
        <v>#NULL!</v>
      </c>
      <c r="AB32" s="29" t="e">
        <v>#NULL!</v>
      </c>
      <c r="AD32" s="29" t="e">
        <v>#NULL!</v>
      </c>
      <c r="AE32" s="29" t="e">
        <v>#NULL!</v>
      </c>
      <c r="AF32" s="29" t="e">
        <v>#NULL!</v>
      </c>
      <c r="AG32" s="29" t="e">
        <v>#NULL!</v>
      </c>
      <c r="AH32" t="s">
        <v>548</v>
      </c>
      <c r="AI32" s="28">
        <v>7</v>
      </c>
      <c r="AJ32" s="29" t="e">
        <v>#NULL!</v>
      </c>
      <c r="AK32" s="29" t="e">
        <v>#NULL!</v>
      </c>
      <c r="AL32" s="29" t="e">
        <v>#NULL!</v>
      </c>
      <c r="AN32" s="29" t="e">
        <v>#NULL!</v>
      </c>
      <c r="AO32" s="29" t="e">
        <v>#NULL!</v>
      </c>
      <c r="AP32" s="29" t="e">
        <v>#NULL!</v>
      </c>
      <c r="AQ32" s="29" t="e">
        <v>#NULL!</v>
      </c>
      <c r="AR32" t="s">
        <v>549</v>
      </c>
      <c r="AS32" s="28">
        <v>7</v>
      </c>
      <c r="AT32" s="29" t="e">
        <v>#NULL!</v>
      </c>
      <c r="AU32" s="29" t="e">
        <v>#NULL!</v>
      </c>
      <c r="AV32" s="29" t="e">
        <v>#NULL!</v>
      </c>
      <c r="AX32" s="29" t="e">
        <v>#NULL!</v>
      </c>
      <c r="AY32" s="29" t="e">
        <v>#NULL!</v>
      </c>
      <c r="AZ32" s="29" t="e">
        <v>#NULL!</v>
      </c>
      <c r="BA32" s="29" t="e">
        <v>#NULL!</v>
      </c>
      <c r="BB32" t="s">
        <v>550</v>
      </c>
      <c r="BC32" s="28">
        <v>99</v>
      </c>
      <c r="BD32" s="29" t="e">
        <v>#NULL!</v>
      </c>
      <c r="BE32" s="29" t="e">
        <v>#NULL!</v>
      </c>
      <c r="BF32" s="29" t="e">
        <v>#NULL!</v>
      </c>
      <c r="BH32" s="29" t="e">
        <v>#NULL!</v>
      </c>
      <c r="BI32" s="29" t="e">
        <v>#NULL!</v>
      </c>
      <c r="BJ32" s="29" t="e">
        <v>#NULL!</v>
      </c>
      <c r="BK32" s="29" t="e">
        <v>#NULL!</v>
      </c>
      <c r="BL32" s="28">
        <v>2</v>
      </c>
      <c r="BM32" s="28">
        <v>10</v>
      </c>
      <c r="BN32" t="s">
        <v>551</v>
      </c>
      <c r="BO32" s="28">
        <v>99</v>
      </c>
      <c r="BP32" s="29" t="e">
        <v>#NULL!</v>
      </c>
      <c r="BQ32" s="29" t="e">
        <v>#NULL!</v>
      </c>
      <c r="BR32" s="29" t="e">
        <v>#NULL!</v>
      </c>
      <c r="BS32" s="28">
        <v>1</v>
      </c>
      <c r="BT32" t="s">
        <v>552</v>
      </c>
      <c r="BU32" s="28">
        <v>99</v>
      </c>
      <c r="BV32" s="29" t="e">
        <v>#NULL!</v>
      </c>
      <c r="BW32" s="29" t="e">
        <v>#NULL!</v>
      </c>
      <c r="BX32" s="29" t="e">
        <v>#NULL!</v>
      </c>
      <c r="BZ32" s="29" t="e">
        <v>#NULL!</v>
      </c>
      <c r="CA32" s="29" t="e">
        <v>#NULL!</v>
      </c>
      <c r="CB32" s="29" t="e">
        <v>#NULL!</v>
      </c>
      <c r="CC32" s="28">
        <v>2</v>
      </c>
      <c r="CD32" s="29" t="e">
        <v>#NULL!</v>
      </c>
      <c r="CE32" s="28">
        <v>2</v>
      </c>
      <c r="CF32" s="29" t="e">
        <v>#NULL!</v>
      </c>
      <c r="CG32" s="29" t="e">
        <v>#NULL!</v>
      </c>
      <c r="CI32" s="29" t="e">
        <v>#NULL!</v>
      </c>
      <c r="CJ32" s="29" t="e">
        <v>#NULL!</v>
      </c>
      <c r="CK32" s="29" t="e">
        <v>#NULL!</v>
      </c>
      <c r="CL32" s="29" t="e">
        <v>#NULL!</v>
      </c>
      <c r="CN32" s="29" t="e">
        <v>#NULL!</v>
      </c>
      <c r="CO32" s="29" t="e">
        <v>#NULL!</v>
      </c>
      <c r="CP32" s="29" t="e">
        <v>#NULL!</v>
      </c>
      <c r="CQ32" s="28">
        <v>2</v>
      </c>
      <c r="CR32" s="29" t="e">
        <v>#NULL!</v>
      </c>
      <c r="CS32" s="28">
        <v>7</v>
      </c>
      <c r="CT32" s="28">
        <v>5</v>
      </c>
      <c r="CU32" s="28">
        <v>6</v>
      </c>
      <c r="CV32" s="28">
        <v>1</v>
      </c>
      <c r="CW32" s="28">
        <v>3</v>
      </c>
      <c r="CX32" s="28">
        <v>5</v>
      </c>
      <c r="CY32" s="28">
        <v>11</v>
      </c>
      <c r="CZ32" t="s">
        <v>553</v>
      </c>
      <c r="DA32" s="28">
        <v>2</v>
      </c>
      <c r="DB32" s="29" t="e">
        <v>#NULL!</v>
      </c>
      <c r="DC32" s="28">
        <v>1</v>
      </c>
      <c r="DD32" s="28">
        <v>0</v>
      </c>
      <c r="DE32" s="28">
        <v>1</v>
      </c>
      <c r="DF32" s="28">
        <v>0</v>
      </c>
      <c r="DG32" s="28">
        <v>0</v>
      </c>
      <c r="DH32" s="28">
        <v>0</v>
      </c>
      <c r="DI32" s="28">
        <v>0</v>
      </c>
      <c r="DJ32" s="28">
        <v>0</v>
      </c>
      <c r="DK32" s="28">
        <v>0</v>
      </c>
      <c r="DL32" s="28">
        <v>0</v>
      </c>
      <c r="DN32" s="28">
        <v>2</v>
      </c>
      <c r="DO32" t="s">
        <v>554</v>
      </c>
      <c r="DP32" s="28">
        <v>99</v>
      </c>
      <c r="DQ32" s="29" t="e">
        <v>#NULL!</v>
      </c>
      <c r="DR32" s="29" t="e">
        <v>#NULL!</v>
      </c>
      <c r="DT32" s="29" t="e">
        <v>#NULL!</v>
      </c>
      <c r="DU32" s="29" t="e">
        <v>#NULL!</v>
      </c>
      <c r="DV32" s="29" t="e">
        <v>#NULL!</v>
      </c>
      <c r="DW32" s="28">
        <v>1</v>
      </c>
      <c r="DX32" s="28">
        <v>2</v>
      </c>
      <c r="DZ32" s="29" t="e">
        <v>#NULL!</v>
      </c>
      <c r="EA32" s="29" t="e">
        <v>#NULL!</v>
      </c>
      <c r="EI32" s="29" t="e">
        <v>#NULL!</v>
      </c>
      <c r="EJ32" s="29" t="e">
        <v>#NULL!</v>
      </c>
      <c r="EK32" s="29" t="e">
        <v>#NULL!</v>
      </c>
      <c r="EL32" s="29" t="e">
        <v>#NULL!</v>
      </c>
      <c r="EM32" s="28">
        <v>10</v>
      </c>
      <c r="EN32" s="28">
        <v>1</v>
      </c>
      <c r="EP32" s="28">
        <v>1</v>
      </c>
      <c r="EQ32" s="28">
        <v>1</v>
      </c>
      <c r="ER32" s="28">
        <v>1</v>
      </c>
      <c r="ES32" s="28">
        <v>99999</v>
      </c>
      <c r="ET32" s="28">
        <v>7</v>
      </c>
      <c r="EU32" s="28">
        <v>4</v>
      </c>
      <c r="EV32" s="28">
        <v>6</v>
      </c>
      <c r="EW32" s="28">
        <v>4</v>
      </c>
      <c r="EX32" s="28">
        <v>1</v>
      </c>
      <c r="EY32" t="s">
        <v>555</v>
      </c>
      <c r="EZ32" t="s">
        <v>556</v>
      </c>
      <c r="FB32" t="s">
        <v>557</v>
      </c>
      <c r="FC32" t="s">
        <v>558</v>
      </c>
      <c r="FD32" s="29" t="e">
        <v>#NULL!</v>
      </c>
      <c r="FE32" s="29" t="e">
        <v>#NULL!</v>
      </c>
      <c r="FF32" s="28">
        <v>2</v>
      </c>
      <c r="FH32" t="s">
        <v>559</v>
      </c>
      <c r="FI32" t="s">
        <v>560</v>
      </c>
    </row>
    <row r="33" spans="1:165" x14ac:dyDescent="0.15">
      <c r="A33" s="28">
        <v>213</v>
      </c>
      <c r="B33" s="28">
        <v>1</v>
      </c>
      <c r="C33" s="28">
        <v>2</v>
      </c>
      <c r="D33" s="28">
        <v>1</v>
      </c>
      <c r="E33" s="29" t="e">
        <v>#NULL!</v>
      </c>
      <c r="F33" s="28">
        <v>2</v>
      </c>
      <c r="G33" s="28">
        <v>2</v>
      </c>
      <c r="H33" s="28">
        <v>2</v>
      </c>
      <c r="J33" s="28">
        <v>1</v>
      </c>
      <c r="K33" s="28">
        <v>11</v>
      </c>
      <c r="P33" s="29" t="e">
        <v>#NULL!</v>
      </c>
      <c r="Q33" s="29" t="e">
        <v>#NULL!</v>
      </c>
      <c r="R33" s="29" t="e">
        <v>#NULL!</v>
      </c>
      <c r="S33" s="29" t="e">
        <v>#NULL!</v>
      </c>
      <c r="T33" s="28">
        <v>10</v>
      </c>
      <c r="U33" s="28">
        <v>10</v>
      </c>
      <c r="V33" s="28">
        <v>10</v>
      </c>
      <c r="W33" s="28">
        <v>10</v>
      </c>
      <c r="Y33" s="29" t="e">
        <v>#NULL!</v>
      </c>
      <c r="Z33" s="29" t="e">
        <v>#NULL!</v>
      </c>
      <c r="AA33" s="29" t="e">
        <v>#NULL!</v>
      </c>
      <c r="AB33" s="29" t="e">
        <v>#NULL!</v>
      </c>
      <c r="AC33" t="s">
        <v>561</v>
      </c>
      <c r="AD33" s="28">
        <v>21</v>
      </c>
      <c r="AE33" s="29" t="e">
        <v>#NULL!</v>
      </c>
      <c r="AF33" s="29" t="e">
        <v>#NULL!</v>
      </c>
      <c r="AG33" s="29" t="e">
        <v>#NULL!</v>
      </c>
      <c r="AI33" s="29" t="e">
        <v>#NULL!</v>
      </c>
      <c r="AJ33" s="29" t="e">
        <v>#NULL!</v>
      </c>
      <c r="AK33" s="29" t="e">
        <v>#NULL!</v>
      </c>
      <c r="AL33" s="29" t="e">
        <v>#NULL!</v>
      </c>
      <c r="AM33" t="s">
        <v>562</v>
      </c>
      <c r="AN33" s="28">
        <v>25</v>
      </c>
      <c r="AO33" s="29" t="e">
        <v>#NULL!</v>
      </c>
      <c r="AP33" s="29" t="e">
        <v>#NULL!</v>
      </c>
      <c r="AQ33" s="29" t="e">
        <v>#NULL!</v>
      </c>
      <c r="AS33" s="29" t="e">
        <v>#NULL!</v>
      </c>
      <c r="AT33" s="29" t="e">
        <v>#NULL!</v>
      </c>
      <c r="AU33" s="29" t="e">
        <v>#NULL!</v>
      </c>
      <c r="AV33" s="29" t="e">
        <v>#NULL!</v>
      </c>
      <c r="AW33" t="s">
        <v>563</v>
      </c>
      <c r="AX33" s="28">
        <v>27</v>
      </c>
      <c r="AY33" s="29" t="e">
        <v>#NULL!</v>
      </c>
      <c r="AZ33" s="29" t="e">
        <v>#NULL!</v>
      </c>
      <c r="BA33" s="29" t="e">
        <v>#NULL!</v>
      </c>
      <c r="BC33" s="29" t="e">
        <v>#NULL!</v>
      </c>
      <c r="BD33" s="29" t="e">
        <v>#NULL!</v>
      </c>
      <c r="BE33" s="29" t="e">
        <v>#NULL!</v>
      </c>
      <c r="BF33" s="29" t="e">
        <v>#NULL!</v>
      </c>
      <c r="BG33" t="s">
        <v>564</v>
      </c>
      <c r="BH33" s="28">
        <v>21</v>
      </c>
      <c r="BI33" s="29" t="e">
        <v>#NULL!</v>
      </c>
      <c r="BJ33" s="29" t="e">
        <v>#NULL!</v>
      </c>
      <c r="BK33" s="29" t="e">
        <v>#NULL!</v>
      </c>
      <c r="BL33" s="28">
        <v>2</v>
      </c>
      <c r="BM33" s="28">
        <v>3</v>
      </c>
      <c r="BN33" t="s">
        <v>565</v>
      </c>
      <c r="BO33" s="28">
        <v>20</v>
      </c>
      <c r="BP33" s="29" t="e">
        <v>#NULL!</v>
      </c>
      <c r="BQ33" s="29" t="e">
        <v>#NULL!</v>
      </c>
      <c r="BR33" s="29" t="e">
        <v>#NULL!</v>
      </c>
      <c r="BS33" s="28">
        <v>10</v>
      </c>
      <c r="BT33" t="s">
        <v>566</v>
      </c>
      <c r="BU33" s="28">
        <v>6</v>
      </c>
      <c r="BV33" s="29" t="e">
        <v>#NULL!</v>
      </c>
      <c r="BW33" s="29" t="e">
        <v>#NULL!</v>
      </c>
      <c r="BX33" s="29" t="e">
        <v>#NULL!</v>
      </c>
      <c r="BZ33" s="29" t="e">
        <v>#NULL!</v>
      </c>
      <c r="CA33" s="29" t="e">
        <v>#NULL!</v>
      </c>
      <c r="CB33" s="29" t="e">
        <v>#NULL!</v>
      </c>
      <c r="CC33" s="28">
        <v>2</v>
      </c>
      <c r="CD33" s="29" t="e">
        <v>#NULL!</v>
      </c>
      <c r="CE33" s="28">
        <v>1</v>
      </c>
      <c r="CF33" s="28">
        <v>1</v>
      </c>
      <c r="CG33" s="28">
        <v>1</v>
      </c>
      <c r="CH33" t="s">
        <v>567</v>
      </c>
      <c r="CI33" s="28">
        <v>1</v>
      </c>
      <c r="CJ33" s="29" t="e">
        <v>#NULL!</v>
      </c>
      <c r="CK33" s="29" t="e">
        <v>#NULL!</v>
      </c>
      <c r="CL33" s="28">
        <v>10</v>
      </c>
      <c r="CN33" s="29" t="e">
        <v>#NULL!</v>
      </c>
      <c r="CO33" s="29" t="e">
        <v>#NULL!</v>
      </c>
      <c r="CP33" s="29" t="e">
        <v>#NULL!</v>
      </c>
      <c r="CQ33" s="28">
        <v>2</v>
      </c>
      <c r="CR33" s="29" t="e">
        <v>#NULL!</v>
      </c>
      <c r="CS33" s="28">
        <v>10</v>
      </c>
      <c r="CT33" s="28">
        <v>10</v>
      </c>
      <c r="CU33" s="28">
        <v>10</v>
      </c>
      <c r="CV33" s="28">
        <v>10</v>
      </c>
      <c r="CW33" s="28">
        <v>10</v>
      </c>
      <c r="CX33" s="28">
        <v>10</v>
      </c>
      <c r="CY33" s="28">
        <v>10</v>
      </c>
      <c r="DA33" s="29" t="e">
        <v>#NULL!</v>
      </c>
      <c r="DB33" s="29" t="e">
        <v>#NULL!</v>
      </c>
      <c r="DC33" s="28">
        <v>10</v>
      </c>
      <c r="DD33" s="29" t="e">
        <v>#NULL!</v>
      </c>
      <c r="DE33" s="29" t="e">
        <v>#NULL!</v>
      </c>
      <c r="DF33" s="29" t="e">
        <v>#NULL!</v>
      </c>
      <c r="DG33" s="29" t="e">
        <v>#NULL!</v>
      </c>
      <c r="DH33" s="29" t="e">
        <v>#NULL!</v>
      </c>
      <c r="DI33" s="29" t="e">
        <v>#NULL!</v>
      </c>
      <c r="DJ33" s="29" t="e">
        <v>#NULL!</v>
      </c>
      <c r="DK33" s="29" t="e">
        <v>#NULL!</v>
      </c>
      <c r="DL33" s="29" t="e">
        <v>#NULL!</v>
      </c>
      <c r="DN33" s="28">
        <v>1</v>
      </c>
      <c r="DP33" s="29" t="e">
        <v>#NULL!</v>
      </c>
      <c r="DQ33" s="29" t="e">
        <v>#NULL!</v>
      </c>
      <c r="DR33" s="29" t="e">
        <v>#NULL!</v>
      </c>
      <c r="DT33" s="29" t="e">
        <v>#NULL!</v>
      </c>
      <c r="DU33" s="29" t="e">
        <v>#NULL!</v>
      </c>
      <c r="DV33" s="29" t="e">
        <v>#NULL!</v>
      </c>
      <c r="DW33" s="28">
        <v>2</v>
      </c>
      <c r="DX33" s="28">
        <v>2</v>
      </c>
      <c r="DZ33" s="29" t="e">
        <v>#NULL!</v>
      </c>
      <c r="EA33" s="29" t="e">
        <v>#NULL!</v>
      </c>
      <c r="EI33" s="29" t="e">
        <v>#NULL!</v>
      </c>
      <c r="EJ33" s="29" t="e">
        <v>#NULL!</v>
      </c>
      <c r="EK33" s="29" t="e">
        <v>#NULL!</v>
      </c>
      <c r="EL33" s="29" t="e">
        <v>#NULL!</v>
      </c>
      <c r="EM33" s="28">
        <v>7</v>
      </c>
      <c r="EN33" s="28">
        <v>7</v>
      </c>
      <c r="EP33" s="28">
        <v>1</v>
      </c>
      <c r="EQ33" s="28">
        <v>5</v>
      </c>
      <c r="ER33" s="28">
        <v>3</v>
      </c>
      <c r="ES33" s="28">
        <v>99999</v>
      </c>
      <c r="ET33" s="28">
        <v>1</v>
      </c>
      <c r="EU33" s="28">
        <v>4</v>
      </c>
      <c r="EV33" s="28">
        <v>8</v>
      </c>
      <c r="EW33" s="28">
        <v>5</v>
      </c>
      <c r="EX33" s="28">
        <v>2</v>
      </c>
      <c r="EY33" t="s">
        <v>568</v>
      </c>
      <c r="EZ33" t="s">
        <v>569</v>
      </c>
      <c r="FB33" t="s">
        <v>570</v>
      </c>
      <c r="FC33" t="s">
        <v>571</v>
      </c>
      <c r="FD33" s="29" t="e">
        <v>#NULL!</v>
      </c>
      <c r="FE33" s="29" t="e">
        <v>#NULL!</v>
      </c>
      <c r="FF33" s="28">
        <v>1</v>
      </c>
      <c r="FH33" t="s">
        <v>572</v>
      </c>
      <c r="FI33" t="s">
        <v>573</v>
      </c>
    </row>
    <row r="34" spans="1:165" x14ac:dyDescent="0.15">
      <c r="A34" s="28">
        <v>228</v>
      </c>
      <c r="B34" s="28">
        <v>1</v>
      </c>
      <c r="C34" s="28">
        <v>2</v>
      </c>
      <c r="D34" s="28">
        <v>1</v>
      </c>
      <c r="E34" s="29" t="e">
        <v>#NULL!</v>
      </c>
      <c r="F34" s="28">
        <v>2</v>
      </c>
      <c r="G34" s="28">
        <v>2</v>
      </c>
      <c r="H34" s="28">
        <v>3</v>
      </c>
      <c r="J34" s="28">
        <v>1</v>
      </c>
      <c r="K34" s="28">
        <v>21</v>
      </c>
      <c r="P34" s="29" t="e">
        <v>#NULL!</v>
      </c>
      <c r="Q34" s="29" t="e">
        <v>#NULL!</v>
      </c>
      <c r="R34" s="29" t="e">
        <v>#NULL!</v>
      </c>
      <c r="S34" s="29" t="e">
        <v>#NULL!</v>
      </c>
      <c r="T34" s="28">
        <v>10</v>
      </c>
      <c r="U34" s="28">
        <v>10</v>
      </c>
      <c r="V34" s="28">
        <v>10</v>
      </c>
      <c r="W34" s="28">
        <v>10</v>
      </c>
      <c r="Y34" s="29" t="e">
        <v>#NULL!</v>
      </c>
      <c r="Z34" s="29" t="e">
        <v>#NULL!</v>
      </c>
      <c r="AA34" s="29" t="e">
        <v>#NULL!</v>
      </c>
      <c r="AB34" s="29" t="e">
        <v>#NULL!</v>
      </c>
      <c r="AC34" t="s">
        <v>574</v>
      </c>
      <c r="AD34" s="28">
        <v>25</v>
      </c>
      <c r="AE34" s="29" t="e">
        <v>#NULL!</v>
      </c>
      <c r="AF34" s="29" t="e">
        <v>#NULL!</v>
      </c>
      <c r="AG34" s="29" t="e">
        <v>#NULL!</v>
      </c>
      <c r="AI34" s="29" t="e">
        <v>#NULL!</v>
      </c>
      <c r="AJ34" s="29" t="e">
        <v>#NULL!</v>
      </c>
      <c r="AK34" s="29" t="e">
        <v>#NULL!</v>
      </c>
      <c r="AL34" s="29" t="e">
        <v>#NULL!</v>
      </c>
      <c r="AM34" t="s">
        <v>575</v>
      </c>
      <c r="AN34" s="28">
        <v>25</v>
      </c>
      <c r="AO34" s="29" t="e">
        <v>#NULL!</v>
      </c>
      <c r="AP34" s="29" t="e">
        <v>#NULL!</v>
      </c>
      <c r="AQ34" s="29" t="e">
        <v>#NULL!</v>
      </c>
      <c r="AS34" s="29" t="e">
        <v>#NULL!</v>
      </c>
      <c r="AT34" s="29" t="e">
        <v>#NULL!</v>
      </c>
      <c r="AU34" s="29" t="e">
        <v>#NULL!</v>
      </c>
      <c r="AV34" s="29" t="e">
        <v>#NULL!</v>
      </c>
      <c r="AW34" t="s">
        <v>575</v>
      </c>
      <c r="AX34" s="28">
        <v>25</v>
      </c>
      <c r="AY34" s="29" t="e">
        <v>#NULL!</v>
      </c>
      <c r="AZ34" s="29" t="e">
        <v>#NULL!</v>
      </c>
      <c r="BA34" s="29" t="e">
        <v>#NULL!</v>
      </c>
      <c r="BC34" s="29" t="e">
        <v>#NULL!</v>
      </c>
      <c r="BD34" s="29" t="e">
        <v>#NULL!</v>
      </c>
      <c r="BE34" s="29" t="e">
        <v>#NULL!</v>
      </c>
      <c r="BF34" s="29" t="e">
        <v>#NULL!</v>
      </c>
      <c r="BG34" t="s">
        <v>576</v>
      </c>
      <c r="BH34" s="28">
        <v>24</v>
      </c>
      <c r="BI34" s="29" t="e">
        <v>#NULL!</v>
      </c>
      <c r="BJ34" s="29" t="e">
        <v>#NULL!</v>
      </c>
      <c r="BK34" s="29" t="e">
        <v>#NULL!</v>
      </c>
      <c r="BL34" s="28">
        <v>2</v>
      </c>
      <c r="BM34" s="28">
        <v>7</v>
      </c>
      <c r="BN34" t="s">
        <v>577</v>
      </c>
      <c r="BO34" s="28">
        <v>20</v>
      </c>
      <c r="BP34" s="29" t="e">
        <v>#NULL!</v>
      </c>
      <c r="BQ34" s="29" t="e">
        <v>#NULL!</v>
      </c>
      <c r="BR34" s="29" t="e">
        <v>#NULL!</v>
      </c>
      <c r="BS34" s="28">
        <v>10</v>
      </c>
      <c r="BT34" t="s">
        <v>578</v>
      </c>
      <c r="BU34" s="28">
        <v>97</v>
      </c>
      <c r="BV34" s="29" t="e">
        <v>#NULL!</v>
      </c>
      <c r="BW34" s="29" t="e">
        <v>#NULL!</v>
      </c>
      <c r="BX34" s="29" t="e">
        <v>#NULL!</v>
      </c>
      <c r="BZ34" s="29" t="e">
        <v>#NULL!</v>
      </c>
      <c r="CA34" s="29" t="e">
        <v>#NULL!</v>
      </c>
      <c r="CB34" s="29" t="e">
        <v>#NULL!</v>
      </c>
      <c r="CC34" s="28">
        <v>1</v>
      </c>
      <c r="CD34" s="28">
        <v>8</v>
      </c>
      <c r="CE34" s="28">
        <v>2</v>
      </c>
      <c r="CF34" s="29" t="e">
        <v>#NULL!</v>
      </c>
      <c r="CG34" s="29" t="e">
        <v>#NULL!</v>
      </c>
      <c r="CI34" s="29" t="e">
        <v>#NULL!</v>
      </c>
      <c r="CJ34" s="29" t="e">
        <v>#NULL!</v>
      </c>
      <c r="CK34" s="29" t="e">
        <v>#NULL!</v>
      </c>
      <c r="CL34" s="29" t="e">
        <v>#NULL!</v>
      </c>
      <c r="CN34" s="29" t="e">
        <v>#NULL!</v>
      </c>
      <c r="CO34" s="29" t="e">
        <v>#NULL!</v>
      </c>
      <c r="CP34" s="29" t="e">
        <v>#NULL!</v>
      </c>
      <c r="CQ34" s="28">
        <v>2</v>
      </c>
      <c r="CR34" s="29" t="e">
        <v>#NULL!</v>
      </c>
      <c r="CS34" s="28">
        <v>10</v>
      </c>
      <c r="CT34" s="28">
        <v>10</v>
      </c>
      <c r="CU34" s="28">
        <v>10</v>
      </c>
      <c r="CV34" s="28">
        <v>10</v>
      </c>
      <c r="CW34" s="28">
        <v>10</v>
      </c>
      <c r="CX34" s="28">
        <v>10</v>
      </c>
      <c r="CY34" s="28">
        <v>10</v>
      </c>
      <c r="DA34" s="29" t="e">
        <v>#NULL!</v>
      </c>
      <c r="DB34" s="29" t="e">
        <v>#NULL!</v>
      </c>
      <c r="DC34" s="28">
        <v>10</v>
      </c>
      <c r="DD34" s="29" t="e">
        <v>#NULL!</v>
      </c>
      <c r="DE34" s="29" t="e">
        <v>#NULL!</v>
      </c>
      <c r="DF34" s="29" t="e">
        <v>#NULL!</v>
      </c>
      <c r="DG34" s="29" t="e">
        <v>#NULL!</v>
      </c>
      <c r="DH34" s="29" t="e">
        <v>#NULL!</v>
      </c>
      <c r="DI34" s="29" t="e">
        <v>#NULL!</v>
      </c>
      <c r="DJ34" s="29" t="e">
        <v>#NULL!</v>
      </c>
      <c r="DK34" s="29" t="e">
        <v>#NULL!</v>
      </c>
      <c r="DL34" s="29" t="e">
        <v>#NULL!</v>
      </c>
      <c r="DN34" s="28">
        <v>1</v>
      </c>
      <c r="DP34" s="29" t="e">
        <v>#NULL!</v>
      </c>
      <c r="DQ34" s="29" t="e">
        <v>#NULL!</v>
      </c>
      <c r="DR34" s="29" t="e">
        <v>#NULL!</v>
      </c>
      <c r="DT34" s="29" t="e">
        <v>#NULL!</v>
      </c>
      <c r="DU34" s="29" t="e">
        <v>#NULL!</v>
      </c>
      <c r="DV34" s="29" t="e">
        <v>#NULL!</v>
      </c>
      <c r="DW34" s="28">
        <v>2</v>
      </c>
      <c r="DX34" s="28">
        <v>1</v>
      </c>
      <c r="DY34" t="s">
        <v>579</v>
      </c>
      <c r="DZ34" s="28">
        <v>5</v>
      </c>
      <c r="EA34" s="29" t="e">
        <v>#NULL!</v>
      </c>
      <c r="EI34" s="29" t="e">
        <v>#NULL!</v>
      </c>
      <c r="EJ34" s="29" t="e">
        <v>#NULL!</v>
      </c>
      <c r="EK34" s="29" t="e">
        <v>#NULL!</v>
      </c>
      <c r="EL34" s="29" t="e">
        <v>#NULL!</v>
      </c>
      <c r="EM34" s="28">
        <v>9</v>
      </c>
      <c r="EN34" s="28">
        <v>1</v>
      </c>
      <c r="EP34" s="28">
        <v>1</v>
      </c>
      <c r="EQ34" s="28">
        <v>3</v>
      </c>
      <c r="ER34" s="28">
        <v>2</v>
      </c>
      <c r="ES34" s="28">
        <v>78702</v>
      </c>
      <c r="ET34" s="28">
        <v>2</v>
      </c>
      <c r="EU34" s="28">
        <v>3</v>
      </c>
      <c r="EV34" s="28">
        <v>6</v>
      </c>
      <c r="EW34" s="28">
        <v>5</v>
      </c>
      <c r="EX34" s="28">
        <v>2</v>
      </c>
      <c r="EY34" t="s">
        <v>580</v>
      </c>
      <c r="EZ34" t="s">
        <v>581</v>
      </c>
      <c r="FB34" t="s">
        <v>582</v>
      </c>
      <c r="FC34" t="s">
        <v>583</v>
      </c>
      <c r="FD34" s="29" t="e">
        <v>#NULL!</v>
      </c>
      <c r="FE34" s="29" t="e">
        <v>#NULL!</v>
      </c>
      <c r="FF34" s="28">
        <v>2</v>
      </c>
      <c r="FH34" t="s">
        <v>584</v>
      </c>
      <c r="FI34" t="s">
        <v>585</v>
      </c>
    </row>
    <row r="35" spans="1:165" x14ac:dyDescent="0.15">
      <c r="A35" s="28">
        <v>253</v>
      </c>
      <c r="B35" s="28">
        <v>1</v>
      </c>
      <c r="C35" s="28">
        <v>2</v>
      </c>
      <c r="D35" s="28">
        <v>1</v>
      </c>
      <c r="E35" s="29" t="e">
        <v>#NULL!</v>
      </c>
      <c r="F35" s="28">
        <v>2</v>
      </c>
      <c r="G35" s="28">
        <v>2</v>
      </c>
      <c r="H35" s="28">
        <v>3</v>
      </c>
      <c r="J35" s="28">
        <v>1</v>
      </c>
      <c r="K35" s="28">
        <v>21</v>
      </c>
      <c r="P35" s="29" t="e">
        <v>#NULL!</v>
      </c>
      <c r="Q35" s="29" t="e">
        <v>#NULL!</v>
      </c>
      <c r="R35" s="29" t="e">
        <v>#NULL!</v>
      </c>
      <c r="S35" s="29" t="e">
        <v>#NULL!</v>
      </c>
      <c r="T35" s="28">
        <v>8</v>
      </c>
      <c r="U35" s="28">
        <v>7</v>
      </c>
      <c r="V35" s="28">
        <v>7</v>
      </c>
      <c r="W35" s="28">
        <v>9</v>
      </c>
      <c r="Y35" s="29" t="e">
        <v>#NULL!</v>
      </c>
      <c r="Z35" s="29" t="e">
        <v>#NULL!</v>
      </c>
      <c r="AA35" s="29" t="e">
        <v>#NULL!</v>
      </c>
      <c r="AB35" s="29" t="e">
        <v>#NULL!</v>
      </c>
      <c r="AC35" t="s">
        <v>586</v>
      </c>
      <c r="AD35" s="28">
        <v>3</v>
      </c>
      <c r="AE35" s="29" t="e">
        <v>#NULL!</v>
      </c>
      <c r="AF35" s="29" t="e">
        <v>#NULL!</v>
      </c>
      <c r="AG35" s="29" t="e">
        <v>#NULL!</v>
      </c>
      <c r="AI35" s="29" t="e">
        <v>#NULL!</v>
      </c>
      <c r="AJ35" s="29" t="e">
        <v>#NULL!</v>
      </c>
      <c r="AK35" s="29" t="e">
        <v>#NULL!</v>
      </c>
      <c r="AL35" s="29" t="e">
        <v>#NULL!</v>
      </c>
      <c r="AN35" s="29" t="e">
        <v>#NULL!</v>
      </c>
      <c r="AO35" s="29" t="e">
        <v>#NULL!</v>
      </c>
      <c r="AP35" s="29" t="e">
        <v>#NULL!</v>
      </c>
      <c r="AQ35" s="29" t="e">
        <v>#NULL!</v>
      </c>
      <c r="AS35" s="29" t="e">
        <v>#NULL!</v>
      </c>
      <c r="AT35" s="29" t="e">
        <v>#NULL!</v>
      </c>
      <c r="AU35" s="29" t="e">
        <v>#NULL!</v>
      </c>
      <c r="AV35" s="29" t="e">
        <v>#NULL!</v>
      </c>
      <c r="AX35" s="29" t="e">
        <v>#NULL!</v>
      </c>
      <c r="AY35" s="29" t="e">
        <v>#NULL!</v>
      </c>
      <c r="AZ35" s="29" t="e">
        <v>#NULL!</v>
      </c>
      <c r="BA35" s="29" t="e">
        <v>#NULL!</v>
      </c>
      <c r="BC35" s="29" t="e">
        <v>#NULL!</v>
      </c>
      <c r="BD35" s="29" t="e">
        <v>#NULL!</v>
      </c>
      <c r="BE35" s="29" t="e">
        <v>#NULL!</v>
      </c>
      <c r="BF35" s="29" t="e">
        <v>#NULL!</v>
      </c>
      <c r="BG35" t="s">
        <v>587</v>
      </c>
      <c r="BH35" s="28">
        <v>21</v>
      </c>
      <c r="BI35" s="29" t="e">
        <v>#NULL!</v>
      </c>
      <c r="BJ35" s="29" t="e">
        <v>#NULL!</v>
      </c>
      <c r="BK35" s="29" t="e">
        <v>#NULL!</v>
      </c>
      <c r="BL35" s="28">
        <v>2</v>
      </c>
      <c r="BM35" s="28">
        <v>7</v>
      </c>
      <c r="BN35" t="s">
        <v>588</v>
      </c>
      <c r="BO35" s="28">
        <v>98</v>
      </c>
      <c r="BP35" s="29" t="e">
        <v>#NULL!</v>
      </c>
      <c r="BQ35" s="29" t="e">
        <v>#NULL!</v>
      </c>
      <c r="BR35" s="29" t="e">
        <v>#NULL!</v>
      </c>
      <c r="BS35" s="28">
        <v>10</v>
      </c>
      <c r="BT35" t="s">
        <v>589</v>
      </c>
      <c r="BU35" s="28">
        <v>6</v>
      </c>
      <c r="BV35" s="28">
        <v>13</v>
      </c>
      <c r="BW35" s="29" t="e">
        <v>#NULL!</v>
      </c>
      <c r="BX35" s="29" t="e">
        <v>#NULL!</v>
      </c>
      <c r="BZ35" s="29" t="e">
        <v>#NULL!</v>
      </c>
      <c r="CA35" s="29" t="e">
        <v>#NULL!</v>
      </c>
      <c r="CB35" s="29" t="e">
        <v>#NULL!</v>
      </c>
      <c r="CC35" s="28">
        <v>1</v>
      </c>
      <c r="CD35" s="28">
        <v>10</v>
      </c>
      <c r="CE35" s="28">
        <v>1</v>
      </c>
      <c r="CF35" s="28">
        <v>1</v>
      </c>
      <c r="CG35" s="28">
        <v>2</v>
      </c>
      <c r="CH35" t="s">
        <v>590</v>
      </c>
      <c r="CI35" s="28">
        <v>1</v>
      </c>
      <c r="CJ35" s="29" t="e">
        <v>#NULL!</v>
      </c>
      <c r="CK35" s="29" t="e">
        <v>#NULL!</v>
      </c>
      <c r="CL35" s="28">
        <v>7</v>
      </c>
      <c r="CM35" t="s">
        <v>591</v>
      </c>
      <c r="CN35" s="28">
        <v>7</v>
      </c>
      <c r="CO35" s="29" t="e">
        <v>#NULL!</v>
      </c>
      <c r="CP35" s="29" t="e">
        <v>#NULL!</v>
      </c>
      <c r="CQ35" s="28">
        <v>2</v>
      </c>
      <c r="CR35" s="29" t="e">
        <v>#NULL!</v>
      </c>
      <c r="CS35" s="28">
        <v>10</v>
      </c>
      <c r="CT35" s="28">
        <v>10</v>
      </c>
      <c r="CU35" s="28">
        <v>10</v>
      </c>
      <c r="CV35" s="28">
        <v>10</v>
      </c>
      <c r="CW35" s="28">
        <v>10</v>
      </c>
      <c r="CX35" s="28">
        <v>10</v>
      </c>
      <c r="CY35" s="28">
        <v>10</v>
      </c>
      <c r="DA35" s="29" t="e">
        <v>#NULL!</v>
      </c>
      <c r="DB35" s="29" t="e">
        <v>#NULL!</v>
      </c>
      <c r="DC35" s="28">
        <v>6</v>
      </c>
      <c r="DD35" s="28">
        <v>0</v>
      </c>
      <c r="DE35" s="28">
        <v>1</v>
      </c>
      <c r="DF35" s="28">
        <v>0</v>
      </c>
      <c r="DG35" s="28">
        <v>0</v>
      </c>
      <c r="DH35" s="28">
        <v>0</v>
      </c>
      <c r="DI35" s="28">
        <v>0</v>
      </c>
      <c r="DJ35" s="28">
        <v>0</v>
      </c>
      <c r="DK35" s="28">
        <v>0</v>
      </c>
      <c r="DL35" s="28">
        <v>0</v>
      </c>
      <c r="DN35" s="28">
        <v>2</v>
      </c>
      <c r="DO35" t="s">
        <v>592</v>
      </c>
      <c r="DP35" s="28">
        <v>4</v>
      </c>
      <c r="DQ35" s="29" t="e">
        <v>#NULL!</v>
      </c>
      <c r="DR35" s="29" t="e">
        <v>#NULL!</v>
      </c>
      <c r="DT35" s="29" t="e">
        <v>#NULL!</v>
      </c>
      <c r="DU35" s="29" t="e">
        <v>#NULL!</v>
      </c>
      <c r="DV35" s="29" t="e">
        <v>#NULL!</v>
      </c>
      <c r="DW35" s="28">
        <v>2</v>
      </c>
      <c r="DX35" s="28">
        <v>2</v>
      </c>
      <c r="DZ35" s="29" t="e">
        <v>#NULL!</v>
      </c>
      <c r="EA35" s="29" t="e">
        <v>#NULL!</v>
      </c>
      <c r="EI35" s="29" t="e">
        <v>#NULL!</v>
      </c>
      <c r="EJ35" s="29" t="e">
        <v>#NULL!</v>
      </c>
      <c r="EK35" s="29" t="e">
        <v>#NULL!</v>
      </c>
      <c r="EL35" s="29" t="e">
        <v>#NULL!</v>
      </c>
      <c r="EM35" s="28">
        <v>9</v>
      </c>
      <c r="EN35" s="28">
        <v>1</v>
      </c>
      <c r="EP35" s="28">
        <v>1</v>
      </c>
      <c r="EQ35" s="28">
        <v>1</v>
      </c>
      <c r="ER35" s="28">
        <v>2</v>
      </c>
      <c r="ES35" s="28">
        <v>78731</v>
      </c>
      <c r="ET35" s="28">
        <v>2</v>
      </c>
      <c r="EU35" s="28">
        <v>5</v>
      </c>
      <c r="EV35" s="28">
        <v>6</v>
      </c>
      <c r="EW35" s="28">
        <v>5</v>
      </c>
      <c r="EX35" s="28">
        <v>2</v>
      </c>
      <c r="EY35" t="s">
        <v>593</v>
      </c>
      <c r="EZ35" t="s">
        <v>594</v>
      </c>
      <c r="FB35" t="s">
        <v>595</v>
      </c>
      <c r="FC35" t="s">
        <v>596</v>
      </c>
      <c r="FD35" s="29" t="e">
        <v>#NULL!</v>
      </c>
      <c r="FE35" s="29" t="e">
        <v>#NULL!</v>
      </c>
      <c r="FF35" s="28">
        <v>2</v>
      </c>
      <c r="FH35" t="s">
        <v>597</v>
      </c>
      <c r="FI35" t="s">
        <v>598</v>
      </c>
    </row>
    <row r="36" spans="1:165" x14ac:dyDescent="0.15">
      <c r="A36" s="28">
        <v>254</v>
      </c>
      <c r="B36" s="28">
        <v>1</v>
      </c>
      <c r="C36" s="28">
        <v>2</v>
      </c>
      <c r="D36" s="28">
        <v>1</v>
      </c>
      <c r="E36" s="29" t="e">
        <v>#NULL!</v>
      </c>
      <c r="F36" s="28">
        <v>2</v>
      </c>
      <c r="G36" s="28">
        <v>2</v>
      </c>
      <c r="H36" s="28">
        <v>2</v>
      </c>
      <c r="J36" s="28">
        <v>1</v>
      </c>
      <c r="K36" s="28">
        <v>19</v>
      </c>
      <c r="P36" s="29" t="e">
        <v>#NULL!</v>
      </c>
      <c r="Q36" s="29" t="e">
        <v>#NULL!</v>
      </c>
      <c r="R36" s="29" t="e">
        <v>#NULL!</v>
      </c>
      <c r="S36" s="29" t="e">
        <v>#NULL!</v>
      </c>
      <c r="T36" s="28">
        <v>4</v>
      </c>
      <c r="U36" s="28">
        <v>7</v>
      </c>
      <c r="V36" s="28">
        <v>7</v>
      </c>
      <c r="W36" s="28">
        <v>7</v>
      </c>
      <c r="Y36" s="29" t="e">
        <v>#NULL!</v>
      </c>
      <c r="Z36" s="29" t="e">
        <v>#NULL!</v>
      </c>
      <c r="AA36" s="29" t="e">
        <v>#NULL!</v>
      </c>
      <c r="AB36" s="29" t="e">
        <v>#NULL!</v>
      </c>
      <c r="AD36" s="29" t="e">
        <v>#NULL!</v>
      </c>
      <c r="AE36" s="29" t="e">
        <v>#NULL!</v>
      </c>
      <c r="AF36" s="29" t="e">
        <v>#NULL!</v>
      </c>
      <c r="AG36" s="29" t="e">
        <v>#NULL!</v>
      </c>
      <c r="AI36" s="29" t="e">
        <v>#NULL!</v>
      </c>
      <c r="AJ36" s="29" t="e">
        <v>#NULL!</v>
      </c>
      <c r="AK36" s="29" t="e">
        <v>#NULL!</v>
      </c>
      <c r="AL36" s="29" t="e">
        <v>#NULL!</v>
      </c>
      <c r="AN36" s="29" t="e">
        <v>#NULL!</v>
      </c>
      <c r="AO36" s="29" t="e">
        <v>#NULL!</v>
      </c>
      <c r="AP36" s="29" t="e">
        <v>#NULL!</v>
      </c>
      <c r="AQ36" s="29" t="e">
        <v>#NULL!</v>
      </c>
      <c r="AS36" s="29" t="e">
        <v>#NULL!</v>
      </c>
      <c r="AT36" s="29" t="e">
        <v>#NULL!</v>
      </c>
      <c r="AU36" s="29" t="e">
        <v>#NULL!</v>
      </c>
      <c r="AV36" s="29" t="e">
        <v>#NULL!</v>
      </c>
      <c r="AX36" s="29" t="e">
        <v>#NULL!</v>
      </c>
      <c r="AY36" s="29" t="e">
        <v>#NULL!</v>
      </c>
      <c r="AZ36" s="29" t="e">
        <v>#NULL!</v>
      </c>
      <c r="BA36" s="29" t="e">
        <v>#NULL!</v>
      </c>
      <c r="BC36" s="29" t="e">
        <v>#NULL!</v>
      </c>
      <c r="BD36" s="29" t="e">
        <v>#NULL!</v>
      </c>
      <c r="BE36" s="29" t="e">
        <v>#NULL!</v>
      </c>
      <c r="BF36" s="29" t="e">
        <v>#NULL!</v>
      </c>
      <c r="BH36" s="29" t="e">
        <v>#NULL!</v>
      </c>
      <c r="BI36" s="29" t="e">
        <v>#NULL!</v>
      </c>
      <c r="BJ36" s="29" t="e">
        <v>#NULL!</v>
      </c>
      <c r="BK36" s="29" t="e">
        <v>#NULL!</v>
      </c>
      <c r="BL36" s="28">
        <v>2</v>
      </c>
      <c r="BM36" s="28">
        <v>5</v>
      </c>
      <c r="BN36" t="s">
        <v>599</v>
      </c>
      <c r="BO36" s="28">
        <v>2</v>
      </c>
      <c r="BP36" s="29" t="e">
        <v>#NULL!</v>
      </c>
      <c r="BQ36" s="29" t="e">
        <v>#NULL!</v>
      </c>
      <c r="BR36" s="29" t="e">
        <v>#NULL!</v>
      </c>
      <c r="BS36" s="28">
        <v>8</v>
      </c>
      <c r="BT36" t="s">
        <v>600</v>
      </c>
      <c r="BU36" s="28">
        <v>22</v>
      </c>
      <c r="BV36" s="29" t="e">
        <v>#NULL!</v>
      </c>
      <c r="BW36" s="29" t="e">
        <v>#NULL!</v>
      </c>
      <c r="BX36" s="29" t="e">
        <v>#NULL!</v>
      </c>
      <c r="BZ36" s="29" t="e">
        <v>#NULL!</v>
      </c>
      <c r="CA36" s="29" t="e">
        <v>#NULL!</v>
      </c>
      <c r="CB36" s="29" t="e">
        <v>#NULL!</v>
      </c>
      <c r="CC36" s="28">
        <v>2</v>
      </c>
      <c r="CD36" s="29" t="e">
        <v>#NULL!</v>
      </c>
      <c r="CE36" s="28">
        <v>1</v>
      </c>
      <c r="CF36" s="28">
        <v>2</v>
      </c>
      <c r="CG36" s="29" t="e">
        <v>#NULL!</v>
      </c>
      <c r="CI36" s="29" t="e">
        <v>#NULL!</v>
      </c>
      <c r="CJ36" s="29" t="e">
        <v>#NULL!</v>
      </c>
      <c r="CK36" s="29" t="e">
        <v>#NULL!</v>
      </c>
      <c r="CL36" s="29" t="e">
        <v>#NULL!</v>
      </c>
      <c r="CN36" s="29" t="e">
        <v>#NULL!</v>
      </c>
      <c r="CO36" s="29" t="e">
        <v>#NULL!</v>
      </c>
      <c r="CP36" s="29" t="e">
        <v>#NULL!</v>
      </c>
      <c r="CQ36" s="28">
        <v>2</v>
      </c>
      <c r="CR36" s="29" t="e">
        <v>#NULL!</v>
      </c>
      <c r="CS36" s="28">
        <v>9</v>
      </c>
      <c r="CT36" s="28">
        <v>7</v>
      </c>
      <c r="CU36" s="28">
        <v>9</v>
      </c>
      <c r="CV36" s="28">
        <v>11</v>
      </c>
      <c r="CW36" s="28">
        <v>8</v>
      </c>
      <c r="CX36" s="28">
        <v>10</v>
      </c>
      <c r="CY36" s="28">
        <v>7</v>
      </c>
      <c r="DA36" s="29" t="e">
        <v>#NULL!</v>
      </c>
      <c r="DB36" s="29" t="e">
        <v>#NULL!</v>
      </c>
      <c r="DC36" s="28">
        <v>8</v>
      </c>
      <c r="DD36" s="29" t="e">
        <v>#NULL!</v>
      </c>
      <c r="DE36" s="29" t="e">
        <v>#NULL!</v>
      </c>
      <c r="DF36" s="29" t="e">
        <v>#NULL!</v>
      </c>
      <c r="DG36" s="29" t="e">
        <v>#NULL!</v>
      </c>
      <c r="DH36" s="29" t="e">
        <v>#NULL!</v>
      </c>
      <c r="DI36" s="29" t="e">
        <v>#NULL!</v>
      </c>
      <c r="DJ36" s="29" t="e">
        <v>#NULL!</v>
      </c>
      <c r="DK36" s="29" t="e">
        <v>#NULL!</v>
      </c>
      <c r="DL36" s="29" t="e">
        <v>#NULL!</v>
      </c>
      <c r="DN36" s="28">
        <v>1</v>
      </c>
      <c r="DP36" s="29" t="e">
        <v>#NULL!</v>
      </c>
      <c r="DQ36" s="29" t="e">
        <v>#NULL!</v>
      </c>
      <c r="DR36" s="29" t="e">
        <v>#NULL!</v>
      </c>
      <c r="DT36" s="29" t="e">
        <v>#NULL!</v>
      </c>
      <c r="DU36" s="29" t="e">
        <v>#NULL!</v>
      </c>
      <c r="DV36" s="29" t="e">
        <v>#NULL!</v>
      </c>
      <c r="DW36" s="28">
        <v>3</v>
      </c>
      <c r="DX36" s="28">
        <v>2</v>
      </c>
      <c r="DZ36" s="29" t="e">
        <v>#NULL!</v>
      </c>
      <c r="EA36" s="29" t="e">
        <v>#NULL!</v>
      </c>
      <c r="EI36" s="29" t="e">
        <v>#NULL!</v>
      </c>
      <c r="EJ36" s="29" t="e">
        <v>#NULL!</v>
      </c>
      <c r="EK36" s="29" t="e">
        <v>#NULL!</v>
      </c>
      <c r="EL36" s="29" t="e">
        <v>#NULL!</v>
      </c>
      <c r="EM36" s="28">
        <v>10</v>
      </c>
      <c r="EN36" s="28">
        <v>1</v>
      </c>
      <c r="EP36" s="28">
        <v>5</v>
      </c>
      <c r="EQ36" s="28">
        <v>1</v>
      </c>
      <c r="ER36" s="28">
        <v>2</v>
      </c>
      <c r="ES36" s="28">
        <v>78749</v>
      </c>
      <c r="ET36" s="28">
        <v>2</v>
      </c>
      <c r="EU36" s="28">
        <v>4</v>
      </c>
      <c r="EV36" s="28">
        <v>5</v>
      </c>
      <c r="EW36" s="28">
        <v>5</v>
      </c>
      <c r="EX36" s="28">
        <v>2</v>
      </c>
      <c r="EY36" t="s">
        <v>601</v>
      </c>
      <c r="EZ36" t="s">
        <v>602</v>
      </c>
      <c r="FB36" t="s">
        <v>603</v>
      </c>
      <c r="FC36" t="s">
        <v>604</v>
      </c>
      <c r="FD36" s="29" t="e">
        <v>#NULL!</v>
      </c>
      <c r="FE36" s="29" t="e">
        <v>#NULL!</v>
      </c>
      <c r="FF36" s="28">
        <v>1</v>
      </c>
      <c r="FH36" t="s">
        <v>605</v>
      </c>
      <c r="FI36" t="s">
        <v>606</v>
      </c>
    </row>
    <row r="37" spans="1:165" x14ac:dyDescent="0.15">
      <c r="A37" s="28">
        <v>259</v>
      </c>
      <c r="B37" s="28">
        <v>1</v>
      </c>
      <c r="C37" s="28">
        <v>2</v>
      </c>
      <c r="D37" s="28">
        <v>1</v>
      </c>
      <c r="E37" s="29" t="e">
        <v>#NULL!</v>
      </c>
      <c r="F37" s="28">
        <v>2</v>
      </c>
      <c r="G37" s="28">
        <v>2</v>
      </c>
      <c r="H37" s="28">
        <v>4</v>
      </c>
      <c r="I37" t="s">
        <v>607</v>
      </c>
      <c r="J37" s="28">
        <v>1</v>
      </c>
      <c r="K37" s="28">
        <v>33</v>
      </c>
      <c r="N37" t="s">
        <v>608</v>
      </c>
      <c r="P37" s="29" t="e">
        <v>#NULL!</v>
      </c>
      <c r="Q37" s="29" t="e">
        <v>#NULL!</v>
      </c>
      <c r="R37" s="29" t="e">
        <v>#NULL!</v>
      </c>
      <c r="S37" s="29" t="e">
        <v>#NULL!</v>
      </c>
      <c r="T37" s="28">
        <v>5</v>
      </c>
      <c r="U37" s="28">
        <v>5</v>
      </c>
      <c r="V37" s="28">
        <v>5</v>
      </c>
      <c r="W37" s="28">
        <v>10</v>
      </c>
      <c r="Y37" s="29" t="e">
        <v>#NULL!</v>
      </c>
      <c r="Z37" s="29" t="e">
        <v>#NULL!</v>
      </c>
      <c r="AA37" s="29" t="e">
        <v>#NULL!</v>
      </c>
      <c r="AB37" s="29" t="e">
        <v>#NULL!</v>
      </c>
      <c r="AD37" s="29" t="e">
        <v>#NULL!</v>
      </c>
      <c r="AE37" s="29" t="e">
        <v>#NULL!</v>
      </c>
      <c r="AF37" s="29" t="e">
        <v>#NULL!</v>
      </c>
      <c r="AG37" s="29" t="e">
        <v>#NULL!</v>
      </c>
      <c r="AI37" s="29" t="e">
        <v>#NULL!</v>
      </c>
      <c r="AJ37" s="29" t="e">
        <v>#NULL!</v>
      </c>
      <c r="AK37" s="29" t="e">
        <v>#NULL!</v>
      </c>
      <c r="AL37" s="29" t="e">
        <v>#NULL!</v>
      </c>
      <c r="AN37" s="29" t="e">
        <v>#NULL!</v>
      </c>
      <c r="AO37" s="29" t="e">
        <v>#NULL!</v>
      </c>
      <c r="AP37" s="29" t="e">
        <v>#NULL!</v>
      </c>
      <c r="AQ37" s="29" t="e">
        <v>#NULL!</v>
      </c>
      <c r="AS37" s="29" t="e">
        <v>#NULL!</v>
      </c>
      <c r="AT37" s="29" t="e">
        <v>#NULL!</v>
      </c>
      <c r="AU37" s="29" t="e">
        <v>#NULL!</v>
      </c>
      <c r="AV37" s="29" t="e">
        <v>#NULL!</v>
      </c>
      <c r="AX37" s="29" t="e">
        <v>#NULL!</v>
      </c>
      <c r="AY37" s="29" t="e">
        <v>#NULL!</v>
      </c>
      <c r="AZ37" s="29" t="e">
        <v>#NULL!</v>
      </c>
      <c r="BA37" s="29" t="e">
        <v>#NULL!</v>
      </c>
      <c r="BC37" s="29" t="e">
        <v>#NULL!</v>
      </c>
      <c r="BD37" s="29" t="e">
        <v>#NULL!</v>
      </c>
      <c r="BE37" s="29" t="e">
        <v>#NULL!</v>
      </c>
      <c r="BF37" s="29" t="e">
        <v>#NULL!</v>
      </c>
      <c r="BG37" t="s">
        <v>272</v>
      </c>
      <c r="BH37" s="29" t="e">
        <v>#NULL!</v>
      </c>
      <c r="BI37" s="29" t="e">
        <v>#NULL!</v>
      </c>
      <c r="BJ37" s="29" t="e">
        <v>#NULL!</v>
      </c>
      <c r="BK37" s="29" t="e">
        <v>#NULL!</v>
      </c>
      <c r="BL37" s="28">
        <v>2</v>
      </c>
      <c r="BM37" s="28">
        <v>7</v>
      </c>
      <c r="BN37" t="s">
        <v>303</v>
      </c>
      <c r="BO37" s="28">
        <v>98</v>
      </c>
      <c r="BP37" s="29" t="e">
        <v>#NULL!</v>
      </c>
      <c r="BQ37" s="29" t="e">
        <v>#NULL!</v>
      </c>
      <c r="BR37" s="29" t="e">
        <v>#NULL!</v>
      </c>
      <c r="BS37" s="28">
        <v>10</v>
      </c>
      <c r="BT37" t="s">
        <v>258</v>
      </c>
      <c r="BU37" s="28">
        <v>97</v>
      </c>
      <c r="BV37" s="29" t="e">
        <v>#NULL!</v>
      </c>
      <c r="BW37" s="29" t="e">
        <v>#NULL!</v>
      </c>
      <c r="BX37" s="29" t="e">
        <v>#NULL!</v>
      </c>
      <c r="BZ37" s="29" t="e">
        <v>#NULL!</v>
      </c>
      <c r="CA37" s="29" t="e">
        <v>#NULL!</v>
      </c>
      <c r="CB37" s="29" t="e">
        <v>#NULL!</v>
      </c>
      <c r="CC37" s="28">
        <v>2</v>
      </c>
      <c r="CD37" s="29" t="e">
        <v>#NULL!</v>
      </c>
      <c r="CE37" s="28">
        <v>2</v>
      </c>
      <c r="CF37" s="29" t="e">
        <v>#NULL!</v>
      </c>
      <c r="CG37" s="29" t="e">
        <v>#NULL!</v>
      </c>
      <c r="CI37" s="29" t="e">
        <v>#NULL!</v>
      </c>
      <c r="CJ37" s="29" t="e">
        <v>#NULL!</v>
      </c>
      <c r="CK37" s="29" t="e">
        <v>#NULL!</v>
      </c>
      <c r="CL37" s="29" t="e">
        <v>#NULL!</v>
      </c>
      <c r="CN37" s="29" t="e">
        <v>#NULL!</v>
      </c>
      <c r="CO37" s="29" t="e">
        <v>#NULL!</v>
      </c>
      <c r="CP37" s="29" t="e">
        <v>#NULL!</v>
      </c>
      <c r="CQ37" s="28">
        <v>2</v>
      </c>
      <c r="CR37" s="29" t="e">
        <v>#NULL!</v>
      </c>
      <c r="CS37" s="28">
        <v>10</v>
      </c>
      <c r="CT37" s="28">
        <v>5</v>
      </c>
      <c r="CU37" s="28">
        <v>5</v>
      </c>
      <c r="CV37" s="28">
        <v>1</v>
      </c>
      <c r="CW37" s="28">
        <v>1</v>
      </c>
      <c r="CX37" s="28">
        <v>10</v>
      </c>
      <c r="CY37" s="28">
        <v>5</v>
      </c>
      <c r="CZ37" t="s">
        <v>609</v>
      </c>
      <c r="DA37" s="28">
        <v>4</v>
      </c>
      <c r="DB37" s="29" t="e">
        <v>#NULL!</v>
      </c>
      <c r="DC37" s="28">
        <v>1</v>
      </c>
      <c r="DD37" s="28">
        <v>0</v>
      </c>
      <c r="DE37" s="28">
        <v>1</v>
      </c>
      <c r="DF37" s="28">
        <v>0</v>
      </c>
      <c r="DG37" s="28">
        <v>0</v>
      </c>
      <c r="DH37" s="28">
        <v>0</v>
      </c>
      <c r="DI37" s="28">
        <v>0</v>
      </c>
      <c r="DJ37" s="28">
        <v>0</v>
      </c>
      <c r="DK37" s="28">
        <v>0</v>
      </c>
      <c r="DL37" s="28">
        <v>0</v>
      </c>
      <c r="DN37" s="28">
        <v>2</v>
      </c>
      <c r="DO37" t="s">
        <v>610</v>
      </c>
      <c r="DP37" s="28">
        <v>4</v>
      </c>
      <c r="DQ37" s="29" t="e">
        <v>#NULL!</v>
      </c>
      <c r="DR37" s="29" t="e">
        <v>#NULL!</v>
      </c>
      <c r="DT37" s="29" t="e">
        <v>#NULL!</v>
      </c>
      <c r="DU37" s="29" t="e">
        <v>#NULL!</v>
      </c>
      <c r="DV37" s="29" t="e">
        <v>#NULL!</v>
      </c>
      <c r="DW37" s="28">
        <v>1</v>
      </c>
      <c r="DX37" s="28">
        <v>2</v>
      </c>
      <c r="DZ37" s="29" t="e">
        <v>#NULL!</v>
      </c>
      <c r="EA37" s="29" t="e">
        <v>#NULL!</v>
      </c>
      <c r="EI37" s="29" t="e">
        <v>#NULL!</v>
      </c>
      <c r="EJ37" s="29" t="e">
        <v>#NULL!</v>
      </c>
      <c r="EK37" s="29" t="e">
        <v>#NULL!</v>
      </c>
      <c r="EL37" s="29" t="e">
        <v>#NULL!</v>
      </c>
      <c r="EM37" s="28">
        <v>10</v>
      </c>
      <c r="EN37" s="28">
        <v>1</v>
      </c>
      <c r="EP37" s="28">
        <v>5</v>
      </c>
      <c r="EQ37" s="28">
        <v>2</v>
      </c>
      <c r="ER37" s="28">
        <v>2</v>
      </c>
      <c r="ES37" s="28">
        <v>78741</v>
      </c>
      <c r="ET37" s="28">
        <v>2</v>
      </c>
      <c r="EU37" s="28">
        <v>5</v>
      </c>
      <c r="EV37" s="28">
        <v>1</v>
      </c>
      <c r="EW37" s="28">
        <v>5</v>
      </c>
      <c r="EX37" s="28">
        <v>1</v>
      </c>
      <c r="EY37" t="s">
        <v>611</v>
      </c>
      <c r="EZ37" t="s">
        <v>612</v>
      </c>
      <c r="FB37" t="s">
        <v>613</v>
      </c>
      <c r="FC37" t="s">
        <v>614</v>
      </c>
      <c r="FD37" s="29" t="e">
        <v>#NULL!</v>
      </c>
      <c r="FE37" s="29" t="e">
        <v>#NULL!</v>
      </c>
      <c r="FF37" s="28">
        <v>2</v>
      </c>
      <c r="FH37" t="s">
        <v>615</v>
      </c>
      <c r="FI37" t="s">
        <v>616</v>
      </c>
    </row>
    <row r="38" spans="1:165" x14ac:dyDescent="0.15">
      <c r="A38" s="28">
        <v>262</v>
      </c>
      <c r="B38" s="28">
        <v>1</v>
      </c>
      <c r="C38" s="28">
        <v>2</v>
      </c>
      <c r="D38" s="28">
        <v>1</v>
      </c>
      <c r="E38" s="29" t="e">
        <v>#NULL!</v>
      </c>
      <c r="F38" s="28">
        <v>3</v>
      </c>
      <c r="G38" s="28">
        <v>2</v>
      </c>
      <c r="H38" s="28">
        <v>2</v>
      </c>
      <c r="J38" s="28">
        <v>1</v>
      </c>
      <c r="K38" s="28">
        <v>5</v>
      </c>
      <c r="P38" s="29" t="e">
        <v>#NULL!</v>
      </c>
      <c r="Q38" s="29" t="e">
        <v>#NULL!</v>
      </c>
      <c r="R38" s="29" t="e">
        <v>#NULL!</v>
      </c>
      <c r="S38" s="29" t="e">
        <v>#NULL!</v>
      </c>
      <c r="T38" s="28">
        <v>10</v>
      </c>
      <c r="U38" s="28">
        <v>10</v>
      </c>
      <c r="V38" s="28">
        <v>10</v>
      </c>
      <c r="W38" s="28">
        <v>10</v>
      </c>
      <c r="Y38" s="29" t="e">
        <v>#NULL!</v>
      </c>
      <c r="Z38" s="29" t="e">
        <v>#NULL!</v>
      </c>
      <c r="AA38" s="29" t="e">
        <v>#NULL!</v>
      </c>
      <c r="AB38" s="29" t="e">
        <v>#NULL!</v>
      </c>
      <c r="AC38" t="s">
        <v>617</v>
      </c>
      <c r="AD38" s="28">
        <v>28</v>
      </c>
      <c r="AE38" s="29" t="e">
        <v>#NULL!</v>
      </c>
      <c r="AF38" s="29" t="e">
        <v>#NULL!</v>
      </c>
      <c r="AG38" s="29" t="e">
        <v>#NULL!</v>
      </c>
      <c r="AI38" s="29" t="e">
        <v>#NULL!</v>
      </c>
      <c r="AJ38" s="29" t="e">
        <v>#NULL!</v>
      </c>
      <c r="AK38" s="29" t="e">
        <v>#NULL!</v>
      </c>
      <c r="AL38" s="29" t="e">
        <v>#NULL!</v>
      </c>
      <c r="AM38" t="s">
        <v>618</v>
      </c>
      <c r="AN38" s="28">
        <v>28</v>
      </c>
      <c r="AO38" s="29" t="e">
        <v>#NULL!</v>
      </c>
      <c r="AP38" s="29" t="e">
        <v>#NULL!</v>
      </c>
      <c r="AQ38" s="29" t="e">
        <v>#NULL!</v>
      </c>
      <c r="AS38" s="29" t="e">
        <v>#NULL!</v>
      </c>
      <c r="AT38" s="29" t="e">
        <v>#NULL!</v>
      </c>
      <c r="AU38" s="29" t="e">
        <v>#NULL!</v>
      </c>
      <c r="AV38" s="29" t="e">
        <v>#NULL!</v>
      </c>
      <c r="AW38" t="s">
        <v>618</v>
      </c>
      <c r="AX38" s="28">
        <v>28</v>
      </c>
      <c r="AY38" s="29" t="e">
        <v>#NULL!</v>
      </c>
      <c r="AZ38" s="29" t="e">
        <v>#NULL!</v>
      </c>
      <c r="BA38" s="29" t="e">
        <v>#NULL!</v>
      </c>
      <c r="BC38" s="29" t="e">
        <v>#NULL!</v>
      </c>
      <c r="BD38" s="29" t="e">
        <v>#NULL!</v>
      </c>
      <c r="BE38" s="29" t="e">
        <v>#NULL!</v>
      </c>
      <c r="BF38" s="29" t="e">
        <v>#NULL!</v>
      </c>
      <c r="BG38" t="s">
        <v>618</v>
      </c>
      <c r="BH38" s="28">
        <v>28</v>
      </c>
      <c r="BI38" s="29" t="e">
        <v>#NULL!</v>
      </c>
      <c r="BJ38" s="29" t="e">
        <v>#NULL!</v>
      </c>
      <c r="BK38" s="29" t="e">
        <v>#NULL!</v>
      </c>
      <c r="BL38" s="28">
        <v>2</v>
      </c>
      <c r="BM38" s="28">
        <v>4</v>
      </c>
      <c r="BN38" t="s">
        <v>403</v>
      </c>
      <c r="BO38" s="28">
        <v>98</v>
      </c>
      <c r="BP38" s="29" t="e">
        <v>#NULL!</v>
      </c>
      <c r="BQ38" s="29" t="e">
        <v>#NULL!</v>
      </c>
      <c r="BR38" s="29" t="e">
        <v>#NULL!</v>
      </c>
      <c r="BS38" s="28">
        <v>7</v>
      </c>
      <c r="BT38" t="s">
        <v>467</v>
      </c>
      <c r="BU38" s="28">
        <v>98</v>
      </c>
      <c r="BV38" s="29" t="e">
        <v>#NULL!</v>
      </c>
      <c r="BW38" s="29" t="e">
        <v>#NULL!</v>
      </c>
      <c r="BX38" s="29" t="e">
        <v>#NULL!</v>
      </c>
      <c r="BZ38" s="29" t="e">
        <v>#NULL!</v>
      </c>
      <c r="CA38" s="29" t="e">
        <v>#NULL!</v>
      </c>
      <c r="CB38" s="29" t="e">
        <v>#NULL!</v>
      </c>
      <c r="CC38" s="28">
        <v>2</v>
      </c>
      <c r="CD38" s="29" t="e">
        <v>#NULL!</v>
      </c>
      <c r="CE38" s="28">
        <v>2</v>
      </c>
      <c r="CF38" s="29" t="e">
        <v>#NULL!</v>
      </c>
      <c r="CG38" s="29" t="e">
        <v>#NULL!</v>
      </c>
      <c r="CI38" s="29" t="e">
        <v>#NULL!</v>
      </c>
      <c r="CJ38" s="29" t="e">
        <v>#NULL!</v>
      </c>
      <c r="CK38" s="29" t="e">
        <v>#NULL!</v>
      </c>
      <c r="CL38" s="29" t="e">
        <v>#NULL!</v>
      </c>
      <c r="CN38" s="29" t="e">
        <v>#NULL!</v>
      </c>
      <c r="CO38" s="29" t="e">
        <v>#NULL!</v>
      </c>
      <c r="CP38" s="29" t="e">
        <v>#NULL!</v>
      </c>
      <c r="CQ38" s="28">
        <v>2</v>
      </c>
      <c r="CR38" s="29" t="e">
        <v>#NULL!</v>
      </c>
      <c r="CS38" s="28">
        <v>10</v>
      </c>
      <c r="CT38" s="28">
        <v>10</v>
      </c>
      <c r="CU38" s="28">
        <v>10</v>
      </c>
      <c r="CV38" s="28">
        <v>10</v>
      </c>
      <c r="CW38" s="28">
        <v>10</v>
      </c>
      <c r="CX38" s="28">
        <v>10</v>
      </c>
      <c r="CY38" s="28">
        <v>10</v>
      </c>
      <c r="DA38" s="29" t="e">
        <v>#NULL!</v>
      </c>
      <c r="DB38" s="29" t="e">
        <v>#NULL!</v>
      </c>
      <c r="DC38" s="28">
        <v>10</v>
      </c>
      <c r="DD38" s="29" t="e">
        <v>#NULL!</v>
      </c>
      <c r="DE38" s="29" t="e">
        <v>#NULL!</v>
      </c>
      <c r="DF38" s="29" t="e">
        <v>#NULL!</v>
      </c>
      <c r="DG38" s="29" t="e">
        <v>#NULL!</v>
      </c>
      <c r="DH38" s="29" t="e">
        <v>#NULL!</v>
      </c>
      <c r="DI38" s="29" t="e">
        <v>#NULL!</v>
      </c>
      <c r="DJ38" s="29" t="e">
        <v>#NULL!</v>
      </c>
      <c r="DK38" s="29" t="e">
        <v>#NULL!</v>
      </c>
      <c r="DL38" s="29" t="e">
        <v>#NULL!</v>
      </c>
      <c r="DN38" s="28">
        <v>1</v>
      </c>
      <c r="DP38" s="29" t="e">
        <v>#NULL!</v>
      </c>
      <c r="DQ38" s="29" t="e">
        <v>#NULL!</v>
      </c>
      <c r="DR38" s="29" t="e">
        <v>#NULL!</v>
      </c>
      <c r="DT38" s="29" t="e">
        <v>#NULL!</v>
      </c>
      <c r="DU38" s="29" t="e">
        <v>#NULL!</v>
      </c>
      <c r="DV38" s="29" t="e">
        <v>#NULL!</v>
      </c>
      <c r="DW38" s="28">
        <v>3</v>
      </c>
      <c r="DX38" s="28">
        <v>3</v>
      </c>
      <c r="DZ38" s="29" t="e">
        <v>#NULL!</v>
      </c>
      <c r="EA38" s="29" t="e">
        <v>#NULL!</v>
      </c>
      <c r="EI38" s="29" t="e">
        <v>#NULL!</v>
      </c>
      <c r="EJ38" s="29" t="e">
        <v>#NULL!</v>
      </c>
      <c r="EK38" s="29" t="e">
        <v>#NULL!</v>
      </c>
      <c r="EL38" s="29" t="e">
        <v>#NULL!</v>
      </c>
      <c r="EM38" s="28">
        <v>10</v>
      </c>
      <c r="EN38" s="28">
        <v>6</v>
      </c>
      <c r="EO38" t="s">
        <v>619</v>
      </c>
      <c r="EP38" s="28">
        <v>5</v>
      </c>
      <c r="EQ38" s="28">
        <v>3</v>
      </c>
      <c r="ER38" s="28">
        <v>1</v>
      </c>
      <c r="ES38" s="28">
        <v>78753</v>
      </c>
      <c r="ET38" s="28">
        <v>1</v>
      </c>
      <c r="EU38" s="28">
        <v>4</v>
      </c>
      <c r="EV38" s="28">
        <v>3</v>
      </c>
      <c r="EW38" s="28">
        <v>5</v>
      </c>
      <c r="EX38" s="28">
        <v>2</v>
      </c>
      <c r="EY38" t="s">
        <v>620</v>
      </c>
      <c r="EZ38" t="s">
        <v>621</v>
      </c>
      <c r="FB38" t="s">
        <v>622</v>
      </c>
      <c r="FC38" t="s">
        <v>623</v>
      </c>
      <c r="FD38" s="29" t="e">
        <v>#NULL!</v>
      </c>
      <c r="FE38" s="29" t="e">
        <v>#NULL!</v>
      </c>
      <c r="FF38" s="28">
        <v>3</v>
      </c>
      <c r="FH38" t="s">
        <v>624</v>
      </c>
      <c r="FI38" t="s">
        <v>625</v>
      </c>
    </row>
    <row r="39" spans="1:165" x14ac:dyDescent="0.15">
      <c r="A39" s="28">
        <v>264</v>
      </c>
      <c r="B39" s="28">
        <v>1</v>
      </c>
      <c r="C39" s="28">
        <v>2</v>
      </c>
      <c r="D39" s="28">
        <v>1</v>
      </c>
      <c r="E39" s="29" t="e">
        <v>#NULL!</v>
      </c>
      <c r="F39" s="28">
        <v>2</v>
      </c>
      <c r="G39" s="28">
        <v>2</v>
      </c>
      <c r="H39" s="28">
        <v>2</v>
      </c>
      <c r="J39" s="28">
        <v>2</v>
      </c>
      <c r="K39" s="28">
        <v>2</v>
      </c>
      <c r="O39" t="s">
        <v>626</v>
      </c>
      <c r="P39" s="28">
        <v>1</v>
      </c>
      <c r="Q39" s="29" t="e">
        <v>#NULL!</v>
      </c>
      <c r="R39" s="29" t="e">
        <v>#NULL!</v>
      </c>
      <c r="S39" s="29" t="e">
        <v>#NULL!</v>
      </c>
      <c r="T39" s="28">
        <v>1</v>
      </c>
      <c r="U39" s="28">
        <v>1</v>
      </c>
      <c r="V39" s="28">
        <v>1</v>
      </c>
      <c r="W39" s="28">
        <v>1</v>
      </c>
      <c r="X39" t="s">
        <v>627</v>
      </c>
      <c r="Y39" s="29" t="e">
        <v>#NULL!</v>
      </c>
      <c r="Z39" s="29" t="e">
        <v>#NULL!</v>
      </c>
      <c r="AA39" s="29" t="e">
        <v>#NULL!</v>
      </c>
      <c r="AB39" s="29" t="e">
        <v>#NULL!</v>
      </c>
      <c r="AD39" s="29" t="e">
        <v>#NULL!</v>
      </c>
      <c r="AE39" s="29" t="e">
        <v>#NULL!</v>
      </c>
      <c r="AF39" s="29" t="e">
        <v>#NULL!</v>
      </c>
      <c r="AG39" s="29" t="e">
        <v>#NULL!</v>
      </c>
      <c r="AH39" t="s">
        <v>627</v>
      </c>
      <c r="AI39" s="29" t="e">
        <v>#NULL!</v>
      </c>
      <c r="AJ39" s="29" t="e">
        <v>#NULL!</v>
      </c>
      <c r="AK39" s="29" t="e">
        <v>#NULL!</v>
      </c>
      <c r="AL39" s="29" t="e">
        <v>#NULL!</v>
      </c>
      <c r="AN39" s="29" t="e">
        <v>#NULL!</v>
      </c>
      <c r="AO39" s="29" t="e">
        <v>#NULL!</v>
      </c>
      <c r="AP39" s="29" t="e">
        <v>#NULL!</v>
      </c>
      <c r="AQ39" s="29" t="e">
        <v>#NULL!</v>
      </c>
      <c r="AR39" t="s">
        <v>627</v>
      </c>
      <c r="AS39" s="29" t="e">
        <v>#NULL!</v>
      </c>
      <c r="AT39" s="29" t="e">
        <v>#NULL!</v>
      </c>
      <c r="AU39" s="29" t="e">
        <v>#NULL!</v>
      </c>
      <c r="AV39" s="29" t="e">
        <v>#NULL!</v>
      </c>
      <c r="AX39" s="29" t="e">
        <v>#NULL!</v>
      </c>
      <c r="AY39" s="29" t="e">
        <v>#NULL!</v>
      </c>
      <c r="AZ39" s="29" t="e">
        <v>#NULL!</v>
      </c>
      <c r="BA39" s="29" t="e">
        <v>#NULL!</v>
      </c>
      <c r="BB39" t="s">
        <v>627</v>
      </c>
      <c r="BC39" s="29" t="e">
        <v>#NULL!</v>
      </c>
      <c r="BD39" s="29" t="e">
        <v>#NULL!</v>
      </c>
      <c r="BE39" s="29" t="e">
        <v>#NULL!</v>
      </c>
      <c r="BF39" s="29" t="e">
        <v>#NULL!</v>
      </c>
      <c r="BH39" s="29" t="e">
        <v>#NULL!</v>
      </c>
      <c r="BI39" s="29" t="e">
        <v>#NULL!</v>
      </c>
      <c r="BJ39" s="29" t="e">
        <v>#NULL!</v>
      </c>
      <c r="BK39" s="29" t="e">
        <v>#NULL!</v>
      </c>
      <c r="BL39" s="28">
        <v>4</v>
      </c>
      <c r="BM39" s="29" t="e">
        <v>#NULL!</v>
      </c>
      <c r="BO39" s="29" t="e">
        <v>#NULL!</v>
      </c>
      <c r="BP39" s="29" t="e">
        <v>#NULL!</v>
      </c>
      <c r="BQ39" s="29" t="e">
        <v>#NULL!</v>
      </c>
      <c r="BR39" s="29" t="e">
        <v>#NULL!</v>
      </c>
      <c r="BS39" s="29" t="e">
        <v>#NULL!</v>
      </c>
      <c r="BU39" s="29" t="e">
        <v>#NULL!</v>
      </c>
      <c r="BV39" s="29" t="e">
        <v>#NULL!</v>
      </c>
      <c r="BW39" s="29" t="e">
        <v>#NULL!</v>
      </c>
      <c r="BX39" s="28">
        <v>1</v>
      </c>
      <c r="BY39" t="s">
        <v>628</v>
      </c>
      <c r="BZ39" s="28">
        <v>1</v>
      </c>
      <c r="CA39" s="29" t="e">
        <v>#NULL!</v>
      </c>
      <c r="CB39" s="29" t="e">
        <v>#NULL!</v>
      </c>
      <c r="CC39" s="28">
        <v>1</v>
      </c>
      <c r="CD39" s="28">
        <v>1</v>
      </c>
      <c r="CE39" s="28">
        <v>1</v>
      </c>
      <c r="CF39" s="28">
        <v>3</v>
      </c>
      <c r="CG39" s="29" t="e">
        <v>#NULL!</v>
      </c>
      <c r="CI39" s="29" t="e">
        <v>#NULL!</v>
      </c>
      <c r="CJ39" s="29" t="e">
        <v>#NULL!</v>
      </c>
      <c r="CK39" s="29" t="e">
        <v>#NULL!</v>
      </c>
      <c r="CL39" s="29" t="e">
        <v>#NULL!</v>
      </c>
      <c r="CN39" s="29" t="e">
        <v>#NULL!</v>
      </c>
      <c r="CO39" s="29" t="e">
        <v>#NULL!</v>
      </c>
      <c r="CP39" s="29" t="e">
        <v>#NULL!</v>
      </c>
      <c r="CQ39" s="28">
        <v>1</v>
      </c>
      <c r="CR39" s="28">
        <v>1</v>
      </c>
      <c r="CS39" s="28">
        <v>1</v>
      </c>
      <c r="CT39" s="28">
        <v>1</v>
      </c>
      <c r="CU39" s="28">
        <v>1</v>
      </c>
      <c r="CV39" s="28">
        <v>1</v>
      </c>
      <c r="CW39" s="28">
        <v>1</v>
      </c>
      <c r="CX39" s="28">
        <v>1</v>
      </c>
      <c r="CY39" s="28">
        <v>1</v>
      </c>
      <c r="CZ39" t="s">
        <v>629</v>
      </c>
      <c r="DA39" s="28">
        <v>2</v>
      </c>
      <c r="DB39" s="29" t="e">
        <v>#NULL!</v>
      </c>
      <c r="DC39" s="28">
        <v>1</v>
      </c>
      <c r="DD39" s="28">
        <v>0</v>
      </c>
      <c r="DE39" s="28">
        <v>0</v>
      </c>
      <c r="DF39" s="28">
        <v>0</v>
      </c>
      <c r="DG39" s="28">
        <v>0</v>
      </c>
      <c r="DH39" s="28">
        <v>0</v>
      </c>
      <c r="DI39" s="28">
        <v>1</v>
      </c>
      <c r="DJ39" s="28">
        <v>0</v>
      </c>
      <c r="DK39" s="28">
        <v>0</v>
      </c>
      <c r="DL39" s="28">
        <v>0</v>
      </c>
      <c r="DN39" s="28">
        <v>2</v>
      </c>
      <c r="DO39" t="s">
        <v>630</v>
      </c>
      <c r="DP39" s="28">
        <v>4</v>
      </c>
      <c r="DQ39" s="28">
        <v>9</v>
      </c>
      <c r="DR39" s="29" t="e">
        <v>#NULL!</v>
      </c>
      <c r="DT39" s="29" t="e">
        <v>#NULL!</v>
      </c>
      <c r="DU39" s="29" t="e">
        <v>#NULL!</v>
      </c>
      <c r="DV39" s="29" t="e">
        <v>#NULL!</v>
      </c>
      <c r="DW39" s="28">
        <v>1</v>
      </c>
      <c r="DX39" s="28">
        <v>2</v>
      </c>
      <c r="DZ39" s="29" t="e">
        <v>#NULL!</v>
      </c>
      <c r="EA39" s="29" t="e">
        <v>#NULL!</v>
      </c>
      <c r="EI39" s="29" t="e">
        <v>#NULL!</v>
      </c>
      <c r="EJ39" s="29" t="e">
        <v>#NULL!</v>
      </c>
      <c r="EK39" s="29" t="e">
        <v>#NULL!</v>
      </c>
      <c r="EL39" s="29" t="e">
        <v>#NULL!</v>
      </c>
      <c r="EM39" s="28">
        <v>10</v>
      </c>
      <c r="EN39" s="28">
        <v>7</v>
      </c>
      <c r="EP39" s="28">
        <v>5</v>
      </c>
      <c r="EQ39" s="28">
        <v>5</v>
      </c>
      <c r="ER39" s="28">
        <v>3</v>
      </c>
      <c r="ES39" s="28">
        <v>78758</v>
      </c>
      <c r="ET39" s="28">
        <v>7</v>
      </c>
      <c r="EU39" s="28">
        <v>5</v>
      </c>
      <c r="EV39" s="28">
        <v>1</v>
      </c>
      <c r="EW39" s="28">
        <v>5</v>
      </c>
      <c r="EX39" s="28">
        <v>1</v>
      </c>
      <c r="EY39" t="s">
        <v>631</v>
      </c>
      <c r="EZ39" t="s">
        <v>632</v>
      </c>
      <c r="FB39" t="s">
        <v>633</v>
      </c>
      <c r="FC39" t="s">
        <v>634</v>
      </c>
      <c r="FD39" s="29" t="e">
        <v>#NULL!</v>
      </c>
      <c r="FE39" s="29" t="e">
        <v>#NULL!</v>
      </c>
      <c r="FF39" s="28">
        <v>2</v>
      </c>
      <c r="FH39" t="s">
        <v>635</v>
      </c>
      <c r="FI39" t="s">
        <v>636</v>
      </c>
    </row>
    <row r="40" spans="1:165" x14ac:dyDescent="0.15">
      <c r="A40" s="28">
        <v>271</v>
      </c>
      <c r="B40" s="28">
        <v>1</v>
      </c>
      <c r="C40" s="28">
        <v>2</v>
      </c>
      <c r="D40" s="28">
        <v>1</v>
      </c>
      <c r="E40" s="29" t="e">
        <v>#NULL!</v>
      </c>
      <c r="F40" s="28">
        <v>2</v>
      </c>
      <c r="G40" s="28">
        <v>2</v>
      </c>
      <c r="H40" s="28">
        <v>4</v>
      </c>
      <c r="I40" t="s">
        <v>637</v>
      </c>
      <c r="J40" s="28">
        <v>1</v>
      </c>
      <c r="K40" s="28">
        <v>19</v>
      </c>
      <c r="P40" s="29" t="e">
        <v>#NULL!</v>
      </c>
      <c r="Q40" s="29" t="e">
        <v>#NULL!</v>
      </c>
      <c r="R40" s="29" t="e">
        <v>#NULL!</v>
      </c>
      <c r="S40" s="29" t="e">
        <v>#NULL!</v>
      </c>
      <c r="T40" s="28">
        <v>10</v>
      </c>
      <c r="U40" s="28">
        <v>10</v>
      </c>
      <c r="V40" s="28">
        <v>10</v>
      </c>
      <c r="W40" s="28">
        <v>10</v>
      </c>
      <c r="Y40" s="29" t="e">
        <v>#NULL!</v>
      </c>
      <c r="Z40" s="29" t="e">
        <v>#NULL!</v>
      </c>
      <c r="AA40" s="29" t="e">
        <v>#NULL!</v>
      </c>
      <c r="AB40" s="29" t="e">
        <v>#NULL!</v>
      </c>
      <c r="AC40" t="s">
        <v>638</v>
      </c>
      <c r="AD40" s="28">
        <v>21</v>
      </c>
      <c r="AE40" s="29" t="e">
        <v>#NULL!</v>
      </c>
      <c r="AF40" s="29" t="e">
        <v>#NULL!</v>
      </c>
      <c r="AG40" s="29" t="e">
        <v>#NULL!</v>
      </c>
      <c r="AI40" s="29" t="e">
        <v>#NULL!</v>
      </c>
      <c r="AJ40" s="29" t="e">
        <v>#NULL!</v>
      </c>
      <c r="AK40" s="29" t="e">
        <v>#NULL!</v>
      </c>
      <c r="AL40" s="29" t="e">
        <v>#NULL!</v>
      </c>
      <c r="AM40" t="s">
        <v>638</v>
      </c>
      <c r="AN40" s="28">
        <v>21</v>
      </c>
      <c r="AO40" s="29" t="e">
        <v>#NULL!</v>
      </c>
      <c r="AP40" s="29" t="e">
        <v>#NULL!</v>
      </c>
      <c r="AQ40" s="29" t="e">
        <v>#NULL!</v>
      </c>
      <c r="AS40" s="29" t="e">
        <v>#NULL!</v>
      </c>
      <c r="AT40" s="29" t="e">
        <v>#NULL!</v>
      </c>
      <c r="AU40" s="29" t="e">
        <v>#NULL!</v>
      </c>
      <c r="AV40" s="29" t="e">
        <v>#NULL!</v>
      </c>
      <c r="AW40" t="s">
        <v>638</v>
      </c>
      <c r="AX40" s="28">
        <v>21</v>
      </c>
      <c r="AY40" s="29" t="e">
        <v>#NULL!</v>
      </c>
      <c r="AZ40" s="29" t="e">
        <v>#NULL!</v>
      </c>
      <c r="BA40" s="29" t="e">
        <v>#NULL!</v>
      </c>
      <c r="BC40" s="29" t="e">
        <v>#NULL!</v>
      </c>
      <c r="BD40" s="29" t="e">
        <v>#NULL!</v>
      </c>
      <c r="BE40" s="29" t="e">
        <v>#NULL!</v>
      </c>
      <c r="BF40" s="29" t="e">
        <v>#NULL!</v>
      </c>
      <c r="BG40" t="s">
        <v>638</v>
      </c>
      <c r="BH40" s="28">
        <v>21</v>
      </c>
      <c r="BI40" s="29" t="e">
        <v>#NULL!</v>
      </c>
      <c r="BJ40" s="29" t="e">
        <v>#NULL!</v>
      </c>
      <c r="BK40" s="29" t="e">
        <v>#NULL!</v>
      </c>
      <c r="BL40" s="28">
        <v>2</v>
      </c>
      <c r="BM40" s="28">
        <v>4</v>
      </c>
      <c r="BN40" t="s">
        <v>639</v>
      </c>
      <c r="BO40" s="28">
        <v>98</v>
      </c>
      <c r="BP40" s="29" t="e">
        <v>#NULL!</v>
      </c>
      <c r="BQ40" s="29" t="e">
        <v>#NULL!</v>
      </c>
      <c r="BR40" s="29" t="e">
        <v>#NULL!</v>
      </c>
      <c r="BS40" s="28">
        <v>9</v>
      </c>
      <c r="BT40" t="s">
        <v>640</v>
      </c>
      <c r="BU40" s="28">
        <v>1</v>
      </c>
      <c r="BV40" s="29" t="e">
        <v>#NULL!</v>
      </c>
      <c r="BW40" s="29" t="e">
        <v>#NULL!</v>
      </c>
      <c r="BX40" s="29" t="e">
        <v>#NULL!</v>
      </c>
      <c r="BZ40" s="29" t="e">
        <v>#NULL!</v>
      </c>
      <c r="CA40" s="29" t="e">
        <v>#NULL!</v>
      </c>
      <c r="CB40" s="29" t="e">
        <v>#NULL!</v>
      </c>
      <c r="CC40" s="28">
        <v>2</v>
      </c>
      <c r="CD40" s="29" t="e">
        <v>#NULL!</v>
      </c>
      <c r="CE40" s="28">
        <v>2</v>
      </c>
      <c r="CF40" s="29" t="e">
        <v>#NULL!</v>
      </c>
      <c r="CG40" s="29" t="e">
        <v>#NULL!</v>
      </c>
      <c r="CI40" s="29" t="e">
        <v>#NULL!</v>
      </c>
      <c r="CJ40" s="29" t="e">
        <v>#NULL!</v>
      </c>
      <c r="CK40" s="29" t="e">
        <v>#NULL!</v>
      </c>
      <c r="CL40" s="29" t="e">
        <v>#NULL!</v>
      </c>
      <c r="CN40" s="29" t="e">
        <v>#NULL!</v>
      </c>
      <c r="CO40" s="29" t="e">
        <v>#NULL!</v>
      </c>
      <c r="CP40" s="29" t="e">
        <v>#NULL!</v>
      </c>
      <c r="CQ40" s="28">
        <v>2</v>
      </c>
      <c r="CR40" s="29" t="e">
        <v>#NULL!</v>
      </c>
      <c r="CS40" s="28">
        <v>10</v>
      </c>
      <c r="CT40" s="28">
        <v>10</v>
      </c>
      <c r="CU40" s="28">
        <v>10</v>
      </c>
      <c r="CV40" s="28">
        <v>11</v>
      </c>
      <c r="CW40" s="28">
        <v>10</v>
      </c>
      <c r="CX40" s="28">
        <v>10</v>
      </c>
      <c r="CY40" s="28">
        <v>10</v>
      </c>
      <c r="DA40" s="29" t="e">
        <v>#NULL!</v>
      </c>
      <c r="DB40" s="29" t="e">
        <v>#NULL!</v>
      </c>
      <c r="DC40" s="28">
        <v>8</v>
      </c>
      <c r="DD40" s="29" t="e">
        <v>#NULL!</v>
      </c>
      <c r="DE40" s="29" t="e">
        <v>#NULL!</v>
      </c>
      <c r="DF40" s="29" t="e">
        <v>#NULL!</v>
      </c>
      <c r="DG40" s="29" t="e">
        <v>#NULL!</v>
      </c>
      <c r="DH40" s="29" t="e">
        <v>#NULL!</v>
      </c>
      <c r="DI40" s="29" t="e">
        <v>#NULL!</v>
      </c>
      <c r="DJ40" s="29" t="e">
        <v>#NULL!</v>
      </c>
      <c r="DK40" s="29" t="e">
        <v>#NULL!</v>
      </c>
      <c r="DL40" s="29" t="e">
        <v>#NULL!</v>
      </c>
      <c r="DN40" s="28">
        <v>2</v>
      </c>
      <c r="DO40" t="s">
        <v>641</v>
      </c>
      <c r="DP40" s="28">
        <v>99</v>
      </c>
      <c r="DQ40" s="29" t="e">
        <v>#NULL!</v>
      </c>
      <c r="DR40" s="29" t="e">
        <v>#NULL!</v>
      </c>
      <c r="DT40" s="29" t="e">
        <v>#NULL!</v>
      </c>
      <c r="DU40" s="29" t="e">
        <v>#NULL!</v>
      </c>
      <c r="DV40" s="29" t="e">
        <v>#NULL!</v>
      </c>
      <c r="DW40" s="28">
        <v>3</v>
      </c>
      <c r="DX40" s="28">
        <v>1</v>
      </c>
      <c r="DY40" t="s">
        <v>642</v>
      </c>
      <c r="DZ40" s="28">
        <v>98</v>
      </c>
      <c r="EA40" s="29" t="e">
        <v>#NULL!</v>
      </c>
      <c r="EI40" s="29" t="e">
        <v>#NULL!</v>
      </c>
      <c r="EJ40" s="29" t="e">
        <v>#NULL!</v>
      </c>
      <c r="EK40" s="29" t="e">
        <v>#NULL!</v>
      </c>
      <c r="EL40" s="29" t="e">
        <v>#NULL!</v>
      </c>
      <c r="EM40" s="28">
        <v>7</v>
      </c>
      <c r="EN40" s="28">
        <v>1</v>
      </c>
      <c r="EP40" s="28">
        <v>2</v>
      </c>
      <c r="EQ40" s="28">
        <v>2</v>
      </c>
      <c r="ER40" s="28">
        <v>2</v>
      </c>
      <c r="ES40" s="28">
        <v>78753</v>
      </c>
      <c r="ET40" s="28">
        <v>1</v>
      </c>
      <c r="EU40" s="28">
        <v>4</v>
      </c>
      <c r="EV40" s="28">
        <v>2</v>
      </c>
      <c r="EW40" s="28">
        <v>5</v>
      </c>
      <c r="EX40" s="28">
        <v>2</v>
      </c>
      <c r="EY40" t="s">
        <v>643</v>
      </c>
      <c r="EZ40" t="s">
        <v>339</v>
      </c>
      <c r="FB40" t="s">
        <v>644</v>
      </c>
      <c r="FC40" t="s">
        <v>645</v>
      </c>
      <c r="FD40" s="29" t="e">
        <v>#NULL!</v>
      </c>
      <c r="FE40" s="29" t="e">
        <v>#NULL!</v>
      </c>
      <c r="FF40" s="28">
        <v>3</v>
      </c>
      <c r="FH40" t="s">
        <v>646</v>
      </c>
      <c r="FI40" t="s">
        <v>647</v>
      </c>
    </row>
    <row r="41" spans="1:165" x14ac:dyDescent="0.15">
      <c r="A41" s="28">
        <v>277</v>
      </c>
      <c r="B41" s="28">
        <v>1</v>
      </c>
      <c r="C41" s="28">
        <v>2</v>
      </c>
      <c r="D41" s="28">
        <v>1</v>
      </c>
      <c r="E41" s="29" t="e">
        <v>#NULL!</v>
      </c>
      <c r="F41" s="28">
        <v>2</v>
      </c>
      <c r="G41" s="28">
        <v>2</v>
      </c>
      <c r="H41" s="28">
        <v>3</v>
      </c>
      <c r="J41" s="28">
        <v>1</v>
      </c>
      <c r="K41" s="28">
        <v>2</v>
      </c>
      <c r="P41" s="29" t="e">
        <v>#NULL!</v>
      </c>
      <c r="Q41" s="29" t="e">
        <v>#NULL!</v>
      </c>
      <c r="R41" s="29" t="e">
        <v>#NULL!</v>
      </c>
      <c r="S41" s="29" t="e">
        <v>#NULL!</v>
      </c>
      <c r="T41" s="28">
        <v>1</v>
      </c>
      <c r="U41" s="28">
        <v>1</v>
      </c>
      <c r="V41" s="28">
        <v>1</v>
      </c>
      <c r="W41" s="28">
        <v>2</v>
      </c>
      <c r="X41" t="s">
        <v>648</v>
      </c>
      <c r="Y41" s="28">
        <v>4</v>
      </c>
      <c r="Z41" s="29" t="e">
        <v>#NULL!</v>
      </c>
      <c r="AA41" s="29" t="e">
        <v>#NULL!</v>
      </c>
      <c r="AB41" s="29" t="e">
        <v>#NULL!</v>
      </c>
      <c r="AD41" s="29" t="e">
        <v>#NULL!</v>
      </c>
      <c r="AE41" s="29" t="e">
        <v>#NULL!</v>
      </c>
      <c r="AF41" s="29" t="e">
        <v>#NULL!</v>
      </c>
      <c r="AG41" s="29" t="e">
        <v>#NULL!</v>
      </c>
      <c r="AH41" t="s">
        <v>649</v>
      </c>
      <c r="AI41" s="28">
        <v>97</v>
      </c>
      <c r="AJ41" s="29" t="e">
        <v>#NULL!</v>
      </c>
      <c r="AK41" s="29" t="e">
        <v>#NULL!</v>
      </c>
      <c r="AL41" s="29" t="e">
        <v>#NULL!</v>
      </c>
      <c r="AN41" s="29" t="e">
        <v>#NULL!</v>
      </c>
      <c r="AO41" s="29" t="e">
        <v>#NULL!</v>
      </c>
      <c r="AP41" s="29" t="e">
        <v>#NULL!</v>
      </c>
      <c r="AQ41" s="29" t="e">
        <v>#NULL!</v>
      </c>
      <c r="AR41" t="s">
        <v>649</v>
      </c>
      <c r="AS41" s="28">
        <v>99</v>
      </c>
      <c r="AT41" s="29" t="e">
        <v>#NULL!</v>
      </c>
      <c r="AU41" s="29" t="e">
        <v>#NULL!</v>
      </c>
      <c r="AV41" s="29" t="e">
        <v>#NULL!</v>
      </c>
      <c r="AX41" s="29" t="e">
        <v>#NULL!</v>
      </c>
      <c r="AY41" s="29" t="e">
        <v>#NULL!</v>
      </c>
      <c r="AZ41" s="29" t="e">
        <v>#NULL!</v>
      </c>
      <c r="BA41" s="29" t="e">
        <v>#NULL!</v>
      </c>
      <c r="BB41" t="s">
        <v>650</v>
      </c>
      <c r="BC41" s="28">
        <v>99</v>
      </c>
      <c r="BD41" s="29" t="e">
        <v>#NULL!</v>
      </c>
      <c r="BE41" s="29" t="e">
        <v>#NULL!</v>
      </c>
      <c r="BF41" s="29" t="e">
        <v>#NULL!</v>
      </c>
      <c r="BH41" s="29" t="e">
        <v>#NULL!</v>
      </c>
      <c r="BI41" s="29" t="e">
        <v>#NULL!</v>
      </c>
      <c r="BJ41" s="29" t="e">
        <v>#NULL!</v>
      </c>
      <c r="BK41" s="29" t="e">
        <v>#NULL!</v>
      </c>
      <c r="BL41" s="28">
        <v>4</v>
      </c>
      <c r="BM41" s="29" t="e">
        <v>#NULL!</v>
      </c>
      <c r="BO41" s="29" t="e">
        <v>#NULL!</v>
      </c>
      <c r="BP41" s="29" t="e">
        <v>#NULL!</v>
      </c>
      <c r="BQ41" s="29" t="e">
        <v>#NULL!</v>
      </c>
      <c r="BR41" s="29" t="e">
        <v>#NULL!</v>
      </c>
      <c r="BS41" s="29" t="e">
        <v>#NULL!</v>
      </c>
      <c r="BU41" s="29" t="e">
        <v>#NULL!</v>
      </c>
      <c r="BV41" s="29" t="e">
        <v>#NULL!</v>
      </c>
      <c r="BW41" s="29" t="e">
        <v>#NULL!</v>
      </c>
      <c r="BX41" s="28">
        <v>1</v>
      </c>
      <c r="BY41" t="s">
        <v>651</v>
      </c>
      <c r="BZ41" s="28">
        <v>4</v>
      </c>
      <c r="CA41" s="29" t="e">
        <v>#NULL!</v>
      </c>
      <c r="CB41" s="29" t="e">
        <v>#NULL!</v>
      </c>
      <c r="CC41" s="28">
        <v>3</v>
      </c>
      <c r="CD41" s="29" t="e">
        <v>#NULL!</v>
      </c>
      <c r="CE41" s="28">
        <v>1</v>
      </c>
      <c r="CF41" s="28">
        <v>3</v>
      </c>
      <c r="CG41" s="29" t="e">
        <v>#NULL!</v>
      </c>
      <c r="CI41" s="29" t="e">
        <v>#NULL!</v>
      </c>
      <c r="CJ41" s="29" t="e">
        <v>#NULL!</v>
      </c>
      <c r="CK41" s="29" t="e">
        <v>#NULL!</v>
      </c>
      <c r="CL41" s="29" t="e">
        <v>#NULL!</v>
      </c>
      <c r="CN41" s="29" t="e">
        <v>#NULL!</v>
      </c>
      <c r="CO41" s="29" t="e">
        <v>#NULL!</v>
      </c>
      <c r="CP41" s="29" t="e">
        <v>#NULL!</v>
      </c>
      <c r="CQ41" s="28">
        <v>1</v>
      </c>
      <c r="CR41" s="28">
        <v>4</v>
      </c>
      <c r="CS41" s="28">
        <v>7</v>
      </c>
      <c r="CT41" s="28">
        <v>7</v>
      </c>
      <c r="CU41" s="28">
        <v>7</v>
      </c>
      <c r="CV41" s="28">
        <v>5</v>
      </c>
      <c r="CW41" s="28">
        <v>8</v>
      </c>
      <c r="CX41" s="28">
        <v>5</v>
      </c>
      <c r="CY41" s="28">
        <v>7</v>
      </c>
      <c r="CZ41" t="s">
        <v>652</v>
      </c>
      <c r="DA41" s="28">
        <v>99</v>
      </c>
      <c r="DB41" s="29" t="e">
        <v>#NULL!</v>
      </c>
      <c r="DC41" s="28">
        <v>1</v>
      </c>
      <c r="DD41" s="28">
        <v>0</v>
      </c>
      <c r="DE41" s="28">
        <v>0</v>
      </c>
      <c r="DF41" s="28">
        <v>0</v>
      </c>
      <c r="DG41" s="28">
        <v>0</v>
      </c>
      <c r="DH41" s="28">
        <v>0</v>
      </c>
      <c r="DI41" s="28">
        <v>1</v>
      </c>
      <c r="DJ41" s="28">
        <v>0</v>
      </c>
      <c r="DK41" s="28">
        <v>0</v>
      </c>
      <c r="DL41" s="28">
        <v>0</v>
      </c>
      <c r="DN41" s="28">
        <v>1</v>
      </c>
      <c r="DP41" s="29" t="e">
        <v>#NULL!</v>
      </c>
      <c r="DQ41" s="29" t="e">
        <v>#NULL!</v>
      </c>
      <c r="DR41" s="29" t="e">
        <v>#NULL!</v>
      </c>
      <c r="DT41" s="29" t="e">
        <v>#NULL!</v>
      </c>
      <c r="DU41" s="29" t="e">
        <v>#NULL!</v>
      </c>
      <c r="DV41" s="29" t="e">
        <v>#NULL!</v>
      </c>
      <c r="DW41" s="28">
        <v>1</v>
      </c>
      <c r="DX41" s="28">
        <v>2</v>
      </c>
      <c r="DZ41" s="29" t="e">
        <v>#NULL!</v>
      </c>
      <c r="EA41" s="29" t="e">
        <v>#NULL!</v>
      </c>
      <c r="EI41" s="29" t="e">
        <v>#NULL!</v>
      </c>
      <c r="EJ41" s="29" t="e">
        <v>#NULL!</v>
      </c>
      <c r="EK41" s="29" t="e">
        <v>#NULL!</v>
      </c>
      <c r="EL41" s="29" t="e">
        <v>#NULL!</v>
      </c>
      <c r="EM41" s="28">
        <v>10</v>
      </c>
      <c r="EN41" s="28">
        <v>7</v>
      </c>
      <c r="EP41" s="28">
        <v>7</v>
      </c>
      <c r="EQ41" s="28">
        <v>5</v>
      </c>
      <c r="ER41" s="28">
        <v>2</v>
      </c>
      <c r="ES41" s="28">
        <v>78731</v>
      </c>
      <c r="ET41" s="28">
        <v>1</v>
      </c>
      <c r="EU41" s="28">
        <v>5</v>
      </c>
      <c r="EV41" s="28">
        <v>8</v>
      </c>
      <c r="EW41" s="28">
        <v>5</v>
      </c>
      <c r="EX41" s="28">
        <v>4</v>
      </c>
      <c r="EY41" t="s">
        <v>653</v>
      </c>
      <c r="EZ41" t="s">
        <v>654</v>
      </c>
      <c r="FB41" t="s">
        <v>655</v>
      </c>
      <c r="FC41" t="s">
        <v>656</v>
      </c>
      <c r="FD41" s="29" t="e">
        <v>#NULL!</v>
      </c>
      <c r="FE41" s="29" t="e">
        <v>#NULL!</v>
      </c>
      <c r="FF41" s="28">
        <v>1</v>
      </c>
      <c r="FH41" t="s">
        <v>657</v>
      </c>
      <c r="FI41" t="s">
        <v>658</v>
      </c>
    </row>
    <row r="42" spans="1:165" x14ac:dyDescent="0.15">
      <c r="A42" s="28">
        <v>279</v>
      </c>
      <c r="B42" s="28">
        <v>1</v>
      </c>
      <c r="C42" s="28">
        <v>2</v>
      </c>
      <c r="D42" s="28">
        <v>1</v>
      </c>
      <c r="E42" s="29" t="e">
        <v>#NULL!</v>
      </c>
      <c r="F42" s="28">
        <v>3</v>
      </c>
      <c r="G42" s="28">
        <v>2</v>
      </c>
      <c r="H42" s="28">
        <v>2</v>
      </c>
      <c r="J42" s="28">
        <v>2</v>
      </c>
      <c r="K42" s="28">
        <v>11</v>
      </c>
      <c r="O42" t="s">
        <v>659</v>
      </c>
      <c r="P42" s="28">
        <v>1</v>
      </c>
      <c r="Q42" s="29" t="e">
        <v>#NULL!</v>
      </c>
      <c r="R42" s="29" t="e">
        <v>#NULL!</v>
      </c>
      <c r="S42" s="29" t="e">
        <v>#NULL!</v>
      </c>
      <c r="T42" s="28">
        <v>5</v>
      </c>
      <c r="U42" s="28">
        <v>9</v>
      </c>
      <c r="V42" s="28">
        <v>3</v>
      </c>
      <c r="W42" s="28">
        <v>9</v>
      </c>
      <c r="Y42" s="29" t="e">
        <v>#NULL!</v>
      </c>
      <c r="Z42" s="29" t="e">
        <v>#NULL!</v>
      </c>
      <c r="AA42" s="29" t="e">
        <v>#NULL!</v>
      </c>
      <c r="AB42" s="29" t="e">
        <v>#NULL!</v>
      </c>
      <c r="AD42" s="29" t="e">
        <v>#NULL!</v>
      </c>
      <c r="AE42" s="29" t="e">
        <v>#NULL!</v>
      </c>
      <c r="AF42" s="29" t="e">
        <v>#NULL!</v>
      </c>
      <c r="AG42" s="29" t="e">
        <v>#NULL!</v>
      </c>
      <c r="AI42" s="29" t="e">
        <v>#NULL!</v>
      </c>
      <c r="AJ42" s="29" t="e">
        <v>#NULL!</v>
      </c>
      <c r="AK42" s="29" t="e">
        <v>#NULL!</v>
      </c>
      <c r="AL42" s="29" t="e">
        <v>#NULL!</v>
      </c>
      <c r="AM42" t="s">
        <v>660</v>
      </c>
      <c r="AN42" s="28">
        <v>97</v>
      </c>
      <c r="AO42" s="29" t="e">
        <v>#NULL!</v>
      </c>
      <c r="AP42" s="29" t="e">
        <v>#NULL!</v>
      </c>
      <c r="AQ42" s="29" t="e">
        <v>#NULL!</v>
      </c>
      <c r="AR42" t="s">
        <v>660</v>
      </c>
      <c r="AS42" s="28">
        <v>97</v>
      </c>
      <c r="AT42" s="29" t="e">
        <v>#NULL!</v>
      </c>
      <c r="AU42" s="29" t="e">
        <v>#NULL!</v>
      </c>
      <c r="AV42" s="29" t="e">
        <v>#NULL!</v>
      </c>
      <c r="AX42" s="29" t="e">
        <v>#NULL!</v>
      </c>
      <c r="AY42" s="29" t="e">
        <v>#NULL!</v>
      </c>
      <c r="AZ42" s="29" t="e">
        <v>#NULL!</v>
      </c>
      <c r="BA42" s="29" t="e">
        <v>#NULL!</v>
      </c>
      <c r="BC42" s="29" t="e">
        <v>#NULL!</v>
      </c>
      <c r="BD42" s="29" t="e">
        <v>#NULL!</v>
      </c>
      <c r="BE42" s="29" t="e">
        <v>#NULL!</v>
      </c>
      <c r="BF42" s="29" t="e">
        <v>#NULL!</v>
      </c>
      <c r="BG42" t="s">
        <v>661</v>
      </c>
      <c r="BH42" s="28">
        <v>21</v>
      </c>
      <c r="BI42" s="29" t="e">
        <v>#NULL!</v>
      </c>
      <c r="BJ42" s="29" t="e">
        <v>#NULL!</v>
      </c>
      <c r="BK42" s="29" t="e">
        <v>#NULL!</v>
      </c>
      <c r="BL42" s="28">
        <v>5</v>
      </c>
      <c r="BM42" s="28">
        <v>5</v>
      </c>
      <c r="BN42" t="s">
        <v>660</v>
      </c>
      <c r="BO42" s="28">
        <v>97</v>
      </c>
      <c r="BP42" s="29" t="e">
        <v>#NULL!</v>
      </c>
      <c r="BQ42" s="29" t="e">
        <v>#NULL!</v>
      </c>
      <c r="BR42" s="29" t="e">
        <v>#NULL!</v>
      </c>
      <c r="BS42" s="28">
        <v>11</v>
      </c>
      <c r="BT42" t="s">
        <v>662</v>
      </c>
      <c r="BU42" s="28">
        <v>1</v>
      </c>
      <c r="BV42" s="29" t="e">
        <v>#NULL!</v>
      </c>
      <c r="BW42" s="29" t="e">
        <v>#NULL!</v>
      </c>
      <c r="BX42" s="29" t="e">
        <v>#NULL!</v>
      </c>
      <c r="BZ42" s="29" t="e">
        <v>#NULL!</v>
      </c>
      <c r="CA42" s="29" t="e">
        <v>#NULL!</v>
      </c>
      <c r="CB42" s="29" t="e">
        <v>#NULL!</v>
      </c>
      <c r="CC42" s="28">
        <v>1</v>
      </c>
      <c r="CD42" s="28">
        <v>11</v>
      </c>
      <c r="CE42" s="28">
        <v>3</v>
      </c>
      <c r="CF42" s="29" t="e">
        <v>#NULL!</v>
      </c>
      <c r="CG42" s="29" t="e">
        <v>#NULL!</v>
      </c>
      <c r="CI42" s="29" t="e">
        <v>#NULL!</v>
      </c>
      <c r="CJ42" s="29" t="e">
        <v>#NULL!</v>
      </c>
      <c r="CK42" s="29" t="e">
        <v>#NULL!</v>
      </c>
      <c r="CL42" s="29" t="e">
        <v>#NULL!</v>
      </c>
      <c r="CN42" s="29" t="e">
        <v>#NULL!</v>
      </c>
      <c r="CO42" s="29" t="e">
        <v>#NULL!</v>
      </c>
      <c r="CP42" s="29" t="e">
        <v>#NULL!</v>
      </c>
      <c r="CQ42" s="28">
        <v>2</v>
      </c>
      <c r="CR42" s="29" t="e">
        <v>#NULL!</v>
      </c>
      <c r="CS42" s="28">
        <v>10</v>
      </c>
      <c r="CT42" s="28">
        <v>9</v>
      </c>
      <c r="CU42" s="28">
        <v>10</v>
      </c>
      <c r="CV42" s="28">
        <v>9</v>
      </c>
      <c r="CW42" s="28">
        <v>9</v>
      </c>
      <c r="CX42" s="28">
        <v>10</v>
      </c>
      <c r="CY42" s="28">
        <v>9</v>
      </c>
      <c r="DA42" s="29" t="e">
        <v>#NULL!</v>
      </c>
      <c r="DB42" s="29" t="e">
        <v>#NULL!</v>
      </c>
      <c r="DC42" s="28">
        <v>1</v>
      </c>
      <c r="DD42" s="28">
        <v>0</v>
      </c>
      <c r="DE42" s="28">
        <v>1</v>
      </c>
      <c r="DF42" s="28">
        <v>0</v>
      </c>
      <c r="DG42" s="28">
        <v>0</v>
      </c>
      <c r="DH42" s="28">
        <v>0</v>
      </c>
      <c r="DI42" s="28">
        <v>0</v>
      </c>
      <c r="DJ42" s="28">
        <v>0</v>
      </c>
      <c r="DK42" s="28">
        <v>0</v>
      </c>
      <c r="DL42" s="28">
        <v>0</v>
      </c>
      <c r="DN42" s="28">
        <v>2</v>
      </c>
      <c r="DO42" t="s">
        <v>663</v>
      </c>
      <c r="DP42" s="28">
        <v>99</v>
      </c>
      <c r="DQ42" s="29" t="e">
        <v>#NULL!</v>
      </c>
      <c r="DR42" s="29" t="e">
        <v>#NULL!</v>
      </c>
      <c r="DT42" s="29" t="e">
        <v>#NULL!</v>
      </c>
      <c r="DU42" s="29" t="e">
        <v>#NULL!</v>
      </c>
      <c r="DV42" s="29" t="e">
        <v>#NULL!</v>
      </c>
      <c r="DW42" s="28">
        <v>3</v>
      </c>
      <c r="DX42" s="28">
        <v>2</v>
      </c>
      <c r="DZ42" s="29" t="e">
        <v>#NULL!</v>
      </c>
      <c r="EA42" s="29" t="e">
        <v>#NULL!</v>
      </c>
      <c r="EI42" s="29" t="e">
        <v>#NULL!</v>
      </c>
      <c r="EJ42" s="29" t="e">
        <v>#NULL!</v>
      </c>
      <c r="EK42" s="29" t="e">
        <v>#NULL!</v>
      </c>
      <c r="EL42" s="29" t="e">
        <v>#NULL!</v>
      </c>
      <c r="EM42" s="28">
        <v>3</v>
      </c>
      <c r="EN42" s="28">
        <v>2</v>
      </c>
      <c r="EP42" s="28">
        <v>1</v>
      </c>
      <c r="EQ42" s="28">
        <v>2</v>
      </c>
      <c r="ER42" s="28">
        <v>1</v>
      </c>
      <c r="ES42" s="28">
        <v>78753</v>
      </c>
      <c r="ET42" s="28">
        <v>1</v>
      </c>
      <c r="EU42" s="28">
        <v>4</v>
      </c>
      <c r="EV42" s="28">
        <v>3</v>
      </c>
      <c r="EW42" s="28">
        <v>4</v>
      </c>
      <c r="EX42" s="28">
        <v>1</v>
      </c>
      <c r="EY42" t="s">
        <v>664</v>
      </c>
      <c r="EZ42" t="s">
        <v>665</v>
      </c>
      <c r="FB42" t="s">
        <v>666</v>
      </c>
      <c r="FC42" t="s">
        <v>667</v>
      </c>
      <c r="FD42" s="29" t="e">
        <v>#NULL!</v>
      </c>
      <c r="FE42" s="29" t="e">
        <v>#NULL!</v>
      </c>
      <c r="FF42" s="28">
        <v>3</v>
      </c>
      <c r="FH42" t="s">
        <v>668</v>
      </c>
      <c r="FI42" t="s">
        <v>669</v>
      </c>
    </row>
    <row r="43" spans="1:165" x14ac:dyDescent="0.15">
      <c r="A43" s="28">
        <v>280</v>
      </c>
      <c r="B43" s="28">
        <v>1</v>
      </c>
      <c r="C43" s="28">
        <v>2</v>
      </c>
      <c r="D43" s="28">
        <v>1</v>
      </c>
      <c r="E43" s="29" t="e">
        <v>#NULL!</v>
      </c>
      <c r="F43" s="28">
        <v>2</v>
      </c>
      <c r="G43" s="28">
        <v>2</v>
      </c>
      <c r="H43" s="28">
        <v>3</v>
      </c>
      <c r="J43" s="28">
        <v>1</v>
      </c>
      <c r="K43" s="28">
        <v>13</v>
      </c>
      <c r="P43" s="29" t="e">
        <v>#NULL!</v>
      </c>
      <c r="Q43" s="29" t="e">
        <v>#NULL!</v>
      </c>
      <c r="R43" s="29" t="e">
        <v>#NULL!</v>
      </c>
      <c r="S43" s="29" t="e">
        <v>#NULL!</v>
      </c>
      <c r="T43" s="28">
        <v>10</v>
      </c>
      <c r="U43" s="28">
        <v>10</v>
      </c>
      <c r="V43" s="28">
        <v>10</v>
      </c>
      <c r="W43" s="28">
        <v>10</v>
      </c>
      <c r="Y43" s="29" t="e">
        <v>#NULL!</v>
      </c>
      <c r="Z43" s="29" t="e">
        <v>#NULL!</v>
      </c>
      <c r="AA43" s="29" t="e">
        <v>#NULL!</v>
      </c>
      <c r="AB43" s="29" t="e">
        <v>#NULL!</v>
      </c>
      <c r="AC43" t="s">
        <v>670</v>
      </c>
      <c r="AD43" s="28">
        <v>20</v>
      </c>
      <c r="AE43" s="29" t="e">
        <v>#NULL!</v>
      </c>
      <c r="AF43" s="29" t="e">
        <v>#NULL!</v>
      </c>
      <c r="AG43" s="29" t="e">
        <v>#NULL!</v>
      </c>
      <c r="AI43" s="29" t="e">
        <v>#NULL!</v>
      </c>
      <c r="AJ43" s="29" t="e">
        <v>#NULL!</v>
      </c>
      <c r="AK43" s="29" t="e">
        <v>#NULL!</v>
      </c>
      <c r="AL43" s="29" t="e">
        <v>#NULL!</v>
      </c>
      <c r="AM43" t="s">
        <v>671</v>
      </c>
      <c r="AN43" s="28">
        <v>27</v>
      </c>
      <c r="AO43" s="29" t="e">
        <v>#NULL!</v>
      </c>
      <c r="AP43" s="29" t="e">
        <v>#NULL!</v>
      </c>
      <c r="AQ43" s="29" t="e">
        <v>#NULL!</v>
      </c>
      <c r="AS43" s="29" t="e">
        <v>#NULL!</v>
      </c>
      <c r="AT43" s="29" t="e">
        <v>#NULL!</v>
      </c>
      <c r="AU43" s="29" t="e">
        <v>#NULL!</v>
      </c>
      <c r="AV43" s="29" t="e">
        <v>#NULL!</v>
      </c>
      <c r="AW43" t="s">
        <v>672</v>
      </c>
      <c r="AX43" s="28">
        <v>27</v>
      </c>
      <c r="AY43" s="29" t="e">
        <v>#NULL!</v>
      </c>
      <c r="AZ43" s="29" t="e">
        <v>#NULL!</v>
      </c>
      <c r="BA43" s="29" t="e">
        <v>#NULL!</v>
      </c>
      <c r="BC43" s="29" t="e">
        <v>#NULL!</v>
      </c>
      <c r="BD43" s="29" t="e">
        <v>#NULL!</v>
      </c>
      <c r="BE43" s="29" t="e">
        <v>#NULL!</v>
      </c>
      <c r="BF43" s="29" t="e">
        <v>#NULL!</v>
      </c>
      <c r="BG43" t="s">
        <v>673</v>
      </c>
      <c r="BH43" s="28">
        <v>21</v>
      </c>
      <c r="BI43" s="29" t="e">
        <v>#NULL!</v>
      </c>
      <c r="BJ43" s="29" t="e">
        <v>#NULL!</v>
      </c>
      <c r="BK43" s="29" t="e">
        <v>#NULL!</v>
      </c>
      <c r="BL43" s="28">
        <v>2</v>
      </c>
      <c r="BM43" s="28">
        <v>2</v>
      </c>
      <c r="BN43" t="s">
        <v>674</v>
      </c>
      <c r="BO43" s="28">
        <v>98</v>
      </c>
      <c r="BP43" s="29" t="e">
        <v>#NULL!</v>
      </c>
      <c r="BQ43" s="29" t="e">
        <v>#NULL!</v>
      </c>
      <c r="BR43" s="29" t="e">
        <v>#NULL!</v>
      </c>
      <c r="BS43" s="28">
        <v>10</v>
      </c>
      <c r="BT43" t="s">
        <v>675</v>
      </c>
      <c r="BU43" s="28">
        <v>12</v>
      </c>
      <c r="BV43" s="28">
        <v>2</v>
      </c>
      <c r="BW43" s="29" t="e">
        <v>#NULL!</v>
      </c>
      <c r="BX43" s="29" t="e">
        <v>#NULL!</v>
      </c>
      <c r="BZ43" s="29" t="e">
        <v>#NULL!</v>
      </c>
      <c r="CA43" s="29" t="e">
        <v>#NULL!</v>
      </c>
      <c r="CB43" s="29" t="e">
        <v>#NULL!</v>
      </c>
      <c r="CC43" s="28">
        <v>1</v>
      </c>
      <c r="CD43" s="28">
        <v>10</v>
      </c>
      <c r="CE43" s="28">
        <v>2</v>
      </c>
      <c r="CF43" s="29" t="e">
        <v>#NULL!</v>
      </c>
      <c r="CG43" s="29" t="e">
        <v>#NULL!</v>
      </c>
      <c r="CI43" s="29" t="e">
        <v>#NULL!</v>
      </c>
      <c r="CJ43" s="29" t="e">
        <v>#NULL!</v>
      </c>
      <c r="CK43" s="29" t="e">
        <v>#NULL!</v>
      </c>
      <c r="CL43" s="29" t="e">
        <v>#NULL!</v>
      </c>
      <c r="CN43" s="29" t="e">
        <v>#NULL!</v>
      </c>
      <c r="CO43" s="29" t="e">
        <v>#NULL!</v>
      </c>
      <c r="CP43" s="29" t="e">
        <v>#NULL!</v>
      </c>
      <c r="CQ43" s="28">
        <v>2</v>
      </c>
      <c r="CR43" s="29" t="e">
        <v>#NULL!</v>
      </c>
      <c r="CS43" s="28">
        <v>9</v>
      </c>
      <c r="CT43" s="28">
        <v>10</v>
      </c>
      <c r="CU43" s="28">
        <v>9</v>
      </c>
      <c r="CV43" s="28">
        <v>6</v>
      </c>
      <c r="CW43" s="28">
        <v>2</v>
      </c>
      <c r="CX43" s="28">
        <v>10</v>
      </c>
      <c r="CY43" s="28">
        <v>5</v>
      </c>
      <c r="CZ43" t="s">
        <v>676</v>
      </c>
      <c r="DA43" s="28">
        <v>4</v>
      </c>
      <c r="DB43" s="29" t="e">
        <v>#NULL!</v>
      </c>
      <c r="DC43" s="28">
        <v>1</v>
      </c>
      <c r="DD43" s="28">
        <v>0</v>
      </c>
      <c r="DE43" s="28">
        <v>1</v>
      </c>
      <c r="DF43" s="28">
        <v>0</v>
      </c>
      <c r="DG43" s="28">
        <v>0</v>
      </c>
      <c r="DH43" s="28">
        <v>0</v>
      </c>
      <c r="DI43" s="28">
        <v>0</v>
      </c>
      <c r="DJ43" s="28">
        <v>0</v>
      </c>
      <c r="DK43" s="28">
        <v>0</v>
      </c>
      <c r="DL43" s="28">
        <v>0</v>
      </c>
      <c r="DN43" s="28">
        <v>1</v>
      </c>
      <c r="DP43" s="29" t="e">
        <v>#NULL!</v>
      </c>
      <c r="DQ43" s="29" t="e">
        <v>#NULL!</v>
      </c>
      <c r="DR43" s="29" t="e">
        <v>#NULL!</v>
      </c>
      <c r="DT43" s="29" t="e">
        <v>#NULL!</v>
      </c>
      <c r="DU43" s="29" t="e">
        <v>#NULL!</v>
      </c>
      <c r="DV43" s="29" t="e">
        <v>#NULL!</v>
      </c>
      <c r="DW43" s="28">
        <v>1</v>
      </c>
      <c r="DX43" s="28">
        <v>2</v>
      </c>
      <c r="DZ43" s="29" t="e">
        <v>#NULL!</v>
      </c>
      <c r="EA43" s="29" t="e">
        <v>#NULL!</v>
      </c>
      <c r="EI43" s="29" t="e">
        <v>#NULL!</v>
      </c>
      <c r="EJ43" s="29" t="e">
        <v>#NULL!</v>
      </c>
      <c r="EK43" s="29" t="e">
        <v>#NULL!</v>
      </c>
      <c r="EL43" s="29" t="e">
        <v>#NULL!</v>
      </c>
      <c r="EM43" s="28">
        <v>6</v>
      </c>
      <c r="EN43" s="28">
        <v>6</v>
      </c>
      <c r="EO43" t="s">
        <v>677</v>
      </c>
      <c r="EP43" s="28">
        <v>1</v>
      </c>
      <c r="EQ43" s="28">
        <v>2</v>
      </c>
      <c r="ER43" s="28">
        <v>1</v>
      </c>
      <c r="ES43" s="28">
        <v>78753</v>
      </c>
      <c r="ET43" s="28">
        <v>2</v>
      </c>
      <c r="EU43" s="28">
        <v>3</v>
      </c>
      <c r="EV43" s="28">
        <v>5</v>
      </c>
      <c r="EW43" s="28">
        <v>5</v>
      </c>
      <c r="EX43" s="28">
        <v>2</v>
      </c>
      <c r="EY43" t="s">
        <v>678</v>
      </c>
      <c r="EZ43" t="s">
        <v>679</v>
      </c>
      <c r="FB43" t="s">
        <v>680</v>
      </c>
      <c r="FC43" t="s">
        <v>681</v>
      </c>
      <c r="FD43" s="29" t="e">
        <v>#NULL!</v>
      </c>
      <c r="FE43" s="29" t="e">
        <v>#NULL!</v>
      </c>
      <c r="FF43" s="28">
        <v>1</v>
      </c>
      <c r="FH43" t="s">
        <v>682</v>
      </c>
      <c r="FI43" t="s">
        <v>683</v>
      </c>
    </row>
    <row r="44" spans="1:165" x14ac:dyDescent="0.15">
      <c r="A44" s="28">
        <v>285</v>
      </c>
      <c r="B44" s="28">
        <v>1</v>
      </c>
      <c r="C44" s="28">
        <v>2</v>
      </c>
      <c r="D44" s="28">
        <v>1</v>
      </c>
      <c r="E44" s="29" t="e">
        <v>#NULL!</v>
      </c>
      <c r="F44" s="28">
        <v>2</v>
      </c>
      <c r="G44" s="28">
        <v>2</v>
      </c>
      <c r="H44" s="28">
        <v>2</v>
      </c>
      <c r="J44" s="28">
        <v>1</v>
      </c>
      <c r="K44" s="28">
        <v>1</v>
      </c>
      <c r="P44" s="29" t="e">
        <v>#NULL!</v>
      </c>
      <c r="Q44" s="29" t="e">
        <v>#NULL!</v>
      </c>
      <c r="R44" s="29" t="e">
        <v>#NULL!</v>
      </c>
      <c r="S44" s="28">
        <v>5</v>
      </c>
      <c r="T44" s="28">
        <v>5</v>
      </c>
      <c r="U44" s="28">
        <v>5</v>
      </c>
      <c r="V44" s="28">
        <v>5</v>
      </c>
      <c r="W44" s="28">
        <v>5</v>
      </c>
      <c r="Y44" s="29" t="e">
        <v>#NULL!</v>
      </c>
      <c r="Z44" s="29" t="e">
        <v>#NULL!</v>
      </c>
      <c r="AA44" s="29" t="e">
        <v>#NULL!</v>
      </c>
      <c r="AB44" s="29" t="e">
        <v>#NULL!</v>
      </c>
      <c r="AD44" s="29" t="e">
        <v>#NULL!</v>
      </c>
      <c r="AE44" s="29" t="e">
        <v>#NULL!</v>
      </c>
      <c r="AF44" s="29" t="e">
        <v>#NULL!</v>
      </c>
      <c r="AG44" s="29" t="e">
        <v>#NULL!</v>
      </c>
      <c r="AI44" s="29" t="e">
        <v>#NULL!</v>
      </c>
      <c r="AJ44" s="29" t="e">
        <v>#NULL!</v>
      </c>
      <c r="AK44" s="29" t="e">
        <v>#NULL!</v>
      </c>
      <c r="AL44" s="29" t="e">
        <v>#NULL!</v>
      </c>
      <c r="AN44" s="29" t="e">
        <v>#NULL!</v>
      </c>
      <c r="AO44" s="29" t="e">
        <v>#NULL!</v>
      </c>
      <c r="AP44" s="29" t="e">
        <v>#NULL!</v>
      </c>
      <c r="AQ44" s="29" t="e">
        <v>#NULL!</v>
      </c>
      <c r="AS44" s="29" t="e">
        <v>#NULL!</v>
      </c>
      <c r="AT44" s="29" t="e">
        <v>#NULL!</v>
      </c>
      <c r="AU44" s="29" t="e">
        <v>#NULL!</v>
      </c>
      <c r="AV44" s="29" t="e">
        <v>#NULL!</v>
      </c>
      <c r="AX44" s="29" t="e">
        <v>#NULL!</v>
      </c>
      <c r="AY44" s="29" t="e">
        <v>#NULL!</v>
      </c>
      <c r="AZ44" s="29" t="e">
        <v>#NULL!</v>
      </c>
      <c r="BA44" s="29" t="e">
        <v>#NULL!</v>
      </c>
      <c r="BC44" s="29" t="e">
        <v>#NULL!</v>
      </c>
      <c r="BD44" s="29" t="e">
        <v>#NULL!</v>
      </c>
      <c r="BE44" s="29" t="e">
        <v>#NULL!</v>
      </c>
      <c r="BF44" s="29" t="e">
        <v>#NULL!</v>
      </c>
      <c r="BH44" s="29" t="e">
        <v>#NULL!</v>
      </c>
      <c r="BI44" s="29" t="e">
        <v>#NULL!</v>
      </c>
      <c r="BJ44" s="29" t="e">
        <v>#NULL!</v>
      </c>
      <c r="BK44" s="29" t="e">
        <v>#NULL!</v>
      </c>
      <c r="BL44" s="28">
        <v>2</v>
      </c>
      <c r="BM44" s="28">
        <v>6</v>
      </c>
      <c r="BN44" t="s">
        <v>684</v>
      </c>
      <c r="BO44" s="28">
        <v>13</v>
      </c>
      <c r="BP44" s="29" t="e">
        <v>#NULL!</v>
      </c>
      <c r="BQ44" s="29" t="e">
        <v>#NULL!</v>
      </c>
      <c r="BR44" s="29" t="e">
        <v>#NULL!</v>
      </c>
      <c r="BS44" s="28">
        <v>6</v>
      </c>
      <c r="BT44" t="s">
        <v>359</v>
      </c>
      <c r="BU44" s="28">
        <v>97</v>
      </c>
      <c r="BV44" s="29" t="e">
        <v>#NULL!</v>
      </c>
      <c r="BW44" s="29" t="e">
        <v>#NULL!</v>
      </c>
      <c r="BX44" s="29" t="e">
        <v>#NULL!</v>
      </c>
      <c r="BZ44" s="29" t="e">
        <v>#NULL!</v>
      </c>
      <c r="CA44" s="29" t="e">
        <v>#NULL!</v>
      </c>
      <c r="CB44" s="29" t="e">
        <v>#NULL!</v>
      </c>
      <c r="CC44" s="28">
        <v>2</v>
      </c>
      <c r="CD44" s="29" t="e">
        <v>#NULL!</v>
      </c>
      <c r="CE44" s="28">
        <v>1</v>
      </c>
      <c r="CF44" s="28">
        <v>3</v>
      </c>
      <c r="CG44" s="29" t="e">
        <v>#NULL!</v>
      </c>
      <c r="CI44" s="29" t="e">
        <v>#NULL!</v>
      </c>
      <c r="CJ44" s="29" t="e">
        <v>#NULL!</v>
      </c>
      <c r="CK44" s="29" t="e">
        <v>#NULL!</v>
      </c>
      <c r="CL44" s="29" t="e">
        <v>#NULL!</v>
      </c>
      <c r="CN44" s="29" t="e">
        <v>#NULL!</v>
      </c>
      <c r="CO44" s="29" t="e">
        <v>#NULL!</v>
      </c>
      <c r="CP44" s="29" t="e">
        <v>#NULL!</v>
      </c>
      <c r="CQ44" s="28">
        <v>2</v>
      </c>
      <c r="CR44" s="29" t="e">
        <v>#NULL!</v>
      </c>
      <c r="CS44" s="28">
        <v>9</v>
      </c>
      <c r="CT44" s="28">
        <v>5</v>
      </c>
      <c r="CU44" s="28">
        <v>6</v>
      </c>
      <c r="CV44" s="28">
        <v>5</v>
      </c>
      <c r="CW44" s="28">
        <v>5</v>
      </c>
      <c r="CX44" s="28">
        <v>8</v>
      </c>
      <c r="CY44" s="28">
        <v>5</v>
      </c>
      <c r="CZ44" t="s">
        <v>685</v>
      </c>
      <c r="DA44" s="28">
        <v>97</v>
      </c>
      <c r="DB44" s="29" t="e">
        <v>#NULL!</v>
      </c>
      <c r="DC44" s="28">
        <v>5</v>
      </c>
      <c r="DD44" s="28">
        <v>0</v>
      </c>
      <c r="DE44" s="28">
        <v>0</v>
      </c>
      <c r="DF44" s="28">
        <v>0</v>
      </c>
      <c r="DG44" s="28">
        <v>0</v>
      </c>
      <c r="DH44" s="28">
        <v>0</v>
      </c>
      <c r="DI44" s="28">
        <v>0</v>
      </c>
      <c r="DJ44" s="28">
        <v>1</v>
      </c>
      <c r="DK44" s="28">
        <v>0</v>
      </c>
      <c r="DL44" s="28">
        <v>0</v>
      </c>
      <c r="DN44" s="28">
        <v>1</v>
      </c>
      <c r="DP44" s="29" t="e">
        <v>#NULL!</v>
      </c>
      <c r="DQ44" s="29" t="e">
        <v>#NULL!</v>
      </c>
      <c r="DR44" s="29" t="e">
        <v>#NULL!</v>
      </c>
      <c r="DT44" s="29" t="e">
        <v>#NULL!</v>
      </c>
      <c r="DU44" s="29" t="e">
        <v>#NULL!</v>
      </c>
      <c r="DV44" s="29" t="e">
        <v>#NULL!</v>
      </c>
      <c r="DW44" s="28">
        <v>2</v>
      </c>
      <c r="DX44" s="28">
        <v>2</v>
      </c>
      <c r="DZ44" s="29" t="e">
        <v>#NULL!</v>
      </c>
      <c r="EA44" s="29" t="e">
        <v>#NULL!</v>
      </c>
      <c r="EI44" s="29" t="e">
        <v>#NULL!</v>
      </c>
      <c r="EJ44" s="29" t="e">
        <v>#NULL!</v>
      </c>
      <c r="EK44" s="29" t="e">
        <v>#NULL!</v>
      </c>
      <c r="EL44" s="29" t="e">
        <v>#NULL!</v>
      </c>
      <c r="EM44" s="28">
        <v>10</v>
      </c>
      <c r="EN44" s="28">
        <v>1</v>
      </c>
      <c r="EP44" s="28">
        <v>5</v>
      </c>
      <c r="EQ44" s="28">
        <v>3</v>
      </c>
      <c r="ER44" s="28">
        <v>2</v>
      </c>
      <c r="ES44" s="28">
        <v>78660</v>
      </c>
      <c r="ET44" s="28">
        <v>6</v>
      </c>
      <c r="EU44" s="28">
        <v>4</v>
      </c>
      <c r="EV44" s="28">
        <v>3</v>
      </c>
      <c r="EW44" s="28">
        <v>5</v>
      </c>
      <c r="EX44" s="28">
        <v>2</v>
      </c>
      <c r="EY44" t="s">
        <v>686</v>
      </c>
      <c r="EZ44" t="s">
        <v>687</v>
      </c>
      <c r="FB44" t="s">
        <v>688</v>
      </c>
      <c r="FC44" t="s">
        <v>689</v>
      </c>
      <c r="FD44" s="29" t="e">
        <v>#NULL!</v>
      </c>
      <c r="FE44" s="29" t="e">
        <v>#NULL!</v>
      </c>
      <c r="FF44" s="28">
        <v>1</v>
      </c>
      <c r="FH44" t="s">
        <v>690</v>
      </c>
      <c r="FI44" t="s">
        <v>691</v>
      </c>
    </row>
    <row r="45" spans="1:165" x14ac:dyDescent="0.15">
      <c r="A45" s="28">
        <v>292</v>
      </c>
      <c r="B45" s="28">
        <v>1</v>
      </c>
      <c r="C45" s="28">
        <v>2</v>
      </c>
      <c r="D45" s="28">
        <v>1</v>
      </c>
      <c r="E45" s="29" t="e">
        <v>#NULL!</v>
      </c>
      <c r="F45" s="28">
        <v>2</v>
      </c>
      <c r="G45" s="28">
        <v>2</v>
      </c>
      <c r="H45" s="28">
        <v>4</v>
      </c>
      <c r="I45" t="s">
        <v>692</v>
      </c>
      <c r="J45" s="28">
        <v>1</v>
      </c>
      <c r="K45" s="28">
        <v>99</v>
      </c>
      <c r="N45" t="s">
        <v>692</v>
      </c>
      <c r="P45" s="29" t="e">
        <v>#NULL!</v>
      </c>
      <c r="Q45" s="29" t="e">
        <v>#NULL!</v>
      </c>
      <c r="R45" s="29" t="e">
        <v>#NULL!</v>
      </c>
      <c r="S45" s="29" t="e">
        <v>#NULL!</v>
      </c>
      <c r="T45" s="28">
        <v>10</v>
      </c>
      <c r="U45" s="28">
        <v>10</v>
      </c>
      <c r="V45" s="28">
        <v>5</v>
      </c>
      <c r="W45" s="28">
        <v>10</v>
      </c>
      <c r="Y45" s="29" t="e">
        <v>#NULL!</v>
      </c>
      <c r="Z45" s="29" t="e">
        <v>#NULL!</v>
      </c>
      <c r="AA45" s="29" t="e">
        <v>#NULL!</v>
      </c>
      <c r="AB45" s="29" t="e">
        <v>#NULL!</v>
      </c>
      <c r="AC45" t="s">
        <v>693</v>
      </c>
      <c r="AD45" s="28">
        <v>22</v>
      </c>
      <c r="AE45" s="29" t="e">
        <v>#NULL!</v>
      </c>
      <c r="AF45" s="29" t="e">
        <v>#NULL!</v>
      </c>
      <c r="AG45" s="29" t="e">
        <v>#NULL!</v>
      </c>
      <c r="AI45" s="29" t="e">
        <v>#NULL!</v>
      </c>
      <c r="AJ45" s="29" t="e">
        <v>#NULL!</v>
      </c>
      <c r="AK45" s="29" t="e">
        <v>#NULL!</v>
      </c>
      <c r="AL45" s="29" t="e">
        <v>#NULL!</v>
      </c>
      <c r="AM45" t="s">
        <v>694</v>
      </c>
      <c r="AN45" s="28">
        <v>21</v>
      </c>
      <c r="AO45" s="29" t="e">
        <v>#NULL!</v>
      </c>
      <c r="AP45" s="29" t="e">
        <v>#NULL!</v>
      </c>
      <c r="AQ45" s="29" t="e">
        <v>#NULL!</v>
      </c>
      <c r="AS45" s="29" t="e">
        <v>#NULL!</v>
      </c>
      <c r="AT45" s="29" t="e">
        <v>#NULL!</v>
      </c>
      <c r="AU45" s="29" t="e">
        <v>#NULL!</v>
      </c>
      <c r="AV45" s="29" t="e">
        <v>#NULL!</v>
      </c>
      <c r="AX45" s="29" t="e">
        <v>#NULL!</v>
      </c>
      <c r="AY45" s="29" t="e">
        <v>#NULL!</v>
      </c>
      <c r="AZ45" s="29" t="e">
        <v>#NULL!</v>
      </c>
      <c r="BA45" s="29" t="e">
        <v>#NULL!</v>
      </c>
      <c r="BC45" s="29" t="e">
        <v>#NULL!</v>
      </c>
      <c r="BD45" s="29" t="e">
        <v>#NULL!</v>
      </c>
      <c r="BE45" s="29" t="e">
        <v>#NULL!</v>
      </c>
      <c r="BF45" s="29" t="e">
        <v>#NULL!</v>
      </c>
      <c r="BG45" t="s">
        <v>695</v>
      </c>
      <c r="BH45" s="28">
        <v>21</v>
      </c>
      <c r="BI45" s="29" t="e">
        <v>#NULL!</v>
      </c>
      <c r="BJ45" s="29" t="e">
        <v>#NULL!</v>
      </c>
      <c r="BK45" s="29" t="e">
        <v>#NULL!</v>
      </c>
      <c r="BL45" s="28">
        <v>2</v>
      </c>
      <c r="BM45" s="28">
        <v>5</v>
      </c>
      <c r="BN45" t="s">
        <v>696</v>
      </c>
      <c r="BO45" s="28">
        <v>98</v>
      </c>
      <c r="BP45" s="29" t="e">
        <v>#NULL!</v>
      </c>
      <c r="BQ45" s="29" t="e">
        <v>#NULL!</v>
      </c>
      <c r="BR45" s="29" t="e">
        <v>#NULL!</v>
      </c>
      <c r="BS45" s="28">
        <v>6</v>
      </c>
      <c r="BT45" t="s">
        <v>697</v>
      </c>
      <c r="BU45" s="28">
        <v>2</v>
      </c>
      <c r="BV45" s="29" t="e">
        <v>#NULL!</v>
      </c>
      <c r="BW45" s="29" t="e">
        <v>#NULL!</v>
      </c>
      <c r="BX45" s="29" t="e">
        <v>#NULL!</v>
      </c>
      <c r="BZ45" s="29" t="e">
        <v>#NULL!</v>
      </c>
      <c r="CA45" s="29" t="e">
        <v>#NULL!</v>
      </c>
      <c r="CB45" s="29" t="e">
        <v>#NULL!</v>
      </c>
      <c r="CC45" s="28">
        <v>2</v>
      </c>
      <c r="CD45" s="29" t="e">
        <v>#NULL!</v>
      </c>
      <c r="CE45" s="28">
        <v>2</v>
      </c>
      <c r="CF45" s="29" t="e">
        <v>#NULL!</v>
      </c>
      <c r="CG45" s="29" t="e">
        <v>#NULL!</v>
      </c>
      <c r="CI45" s="29" t="e">
        <v>#NULL!</v>
      </c>
      <c r="CJ45" s="29" t="e">
        <v>#NULL!</v>
      </c>
      <c r="CK45" s="29" t="e">
        <v>#NULL!</v>
      </c>
      <c r="CL45" s="29" t="e">
        <v>#NULL!</v>
      </c>
      <c r="CN45" s="29" t="e">
        <v>#NULL!</v>
      </c>
      <c r="CO45" s="29" t="e">
        <v>#NULL!</v>
      </c>
      <c r="CP45" s="29" t="e">
        <v>#NULL!</v>
      </c>
      <c r="CQ45" s="28">
        <v>2</v>
      </c>
      <c r="CR45" s="29" t="e">
        <v>#NULL!</v>
      </c>
      <c r="CS45" s="28">
        <v>10</v>
      </c>
      <c r="CT45" s="28">
        <v>10</v>
      </c>
      <c r="CU45" s="28">
        <v>10</v>
      </c>
      <c r="CV45" s="28">
        <v>10</v>
      </c>
      <c r="CW45" s="28">
        <v>10</v>
      </c>
      <c r="CX45" s="28">
        <v>10</v>
      </c>
      <c r="CY45" s="28">
        <v>11</v>
      </c>
      <c r="DA45" s="29" t="e">
        <v>#NULL!</v>
      </c>
      <c r="DB45" s="29" t="e">
        <v>#NULL!</v>
      </c>
      <c r="DC45" s="28">
        <v>10</v>
      </c>
      <c r="DD45" s="29" t="e">
        <v>#NULL!</v>
      </c>
      <c r="DE45" s="29" t="e">
        <v>#NULL!</v>
      </c>
      <c r="DF45" s="29" t="e">
        <v>#NULL!</v>
      </c>
      <c r="DG45" s="29" t="e">
        <v>#NULL!</v>
      </c>
      <c r="DH45" s="29" t="e">
        <v>#NULL!</v>
      </c>
      <c r="DI45" s="29" t="e">
        <v>#NULL!</v>
      </c>
      <c r="DJ45" s="29" t="e">
        <v>#NULL!</v>
      </c>
      <c r="DK45" s="29" t="e">
        <v>#NULL!</v>
      </c>
      <c r="DL45" s="29" t="e">
        <v>#NULL!</v>
      </c>
      <c r="DN45" s="28">
        <v>1</v>
      </c>
      <c r="DP45" s="29" t="e">
        <v>#NULL!</v>
      </c>
      <c r="DQ45" s="29" t="e">
        <v>#NULL!</v>
      </c>
      <c r="DR45" s="29" t="e">
        <v>#NULL!</v>
      </c>
      <c r="DT45" s="29" t="e">
        <v>#NULL!</v>
      </c>
      <c r="DU45" s="29" t="e">
        <v>#NULL!</v>
      </c>
      <c r="DV45" s="29" t="e">
        <v>#NULL!</v>
      </c>
      <c r="DW45" s="28">
        <v>3</v>
      </c>
      <c r="DX45" s="28">
        <v>2</v>
      </c>
      <c r="DZ45" s="29" t="e">
        <v>#NULL!</v>
      </c>
      <c r="EA45" s="29" t="e">
        <v>#NULL!</v>
      </c>
      <c r="EI45" s="29" t="e">
        <v>#NULL!</v>
      </c>
      <c r="EJ45" s="29" t="e">
        <v>#NULL!</v>
      </c>
      <c r="EK45" s="29" t="e">
        <v>#NULL!</v>
      </c>
      <c r="EL45" s="29" t="e">
        <v>#NULL!</v>
      </c>
      <c r="EM45" s="28">
        <v>7</v>
      </c>
      <c r="EN45" s="28">
        <v>1</v>
      </c>
      <c r="EP45" s="28">
        <v>1</v>
      </c>
      <c r="EQ45" s="28">
        <v>1</v>
      </c>
      <c r="ER45" s="28">
        <v>1</v>
      </c>
      <c r="ES45" s="28">
        <v>78752</v>
      </c>
      <c r="ET45" s="28">
        <v>2</v>
      </c>
      <c r="EU45" s="28">
        <v>4</v>
      </c>
      <c r="EV45" s="28">
        <v>5</v>
      </c>
      <c r="EW45" s="28">
        <v>5</v>
      </c>
      <c r="EX45" s="28">
        <v>2</v>
      </c>
      <c r="EY45" t="s">
        <v>698</v>
      </c>
      <c r="EZ45" t="s">
        <v>699</v>
      </c>
      <c r="FB45" t="s">
        <v>700</v>
      </c>
      <c r="FC45" t="s">
        <v>701</v>
      </c>
      <c r="FD45" s="29" t="e">
        <v>#NULL!</v>
      </c>
      <c r="FE45" s="29" t="e">
        <v>#NULL!</v>
      </c>
      <c r="FF45" s="28">
        <v>3</v>
      </c>
      <c r="FH45" t="s">
        <v>702</v>
      </c>
      <c r="FI45" t="s">
        <v>703</v>
      </c>
    </row>
    <row r="46" spans="1:165" x14ac:dyDescent="0.15">
      <c r="A46" s="28">
        <v>297</v>
      </c>
      <c r="B46" s="28">
        <v>1</v>
      </c>
      <c r="C46" s="28">
        <v>2</v>
      </c>
      <c r="D46" s="28">
        <v>1</v>
      </c>
      <c r="E46" s="29" t="e">
        <v>#NULL!</v>
      </c>
      <c r="F46" s="28">
        <v>2</v>
      </c>
      <c r="G46" s="28">
        <v>2</v>
      </c>
      <c r="H46" s="28">
        <v>2</v>
      </c>
      <c r="J46" s="28">
        <v>2</v>
      </c>
      <c r="K46" s="28">
        <v>1</v>
      </c>
      <c r="O46" t="s">
        <v>704</v>
      </c>
      <c r="P46" s="28">
        <v>13</v>
      </c>
      <c r="Q46" s="29" t="e">
        <v>#NULL!</v>
      </c>
      <c r="R46" s="29" t="e">
        <v>#NULL!</v>
      </c>
      <c r="S46" s="28">
        <v>8</v>
      </c>
      <c r="T46" s="28">
        <v>7</v>
      </c>
      <c r="U46" s="28">
        <v>9</v>
      </c>
      <c r="V46" s="28">
        <v>8</v>
      </c>
      <c r="W46" s="28">
        <v>7</v>
      </c>
      <c r="Y46" s="29" t="e">
        <v>#NULL!</v>
      </c>
      <c r="Z46" s="29" t="e">
        <v>#NULL!</v>
      </c>
      <c r="AA46" s="29" t="e">
        <v>#NULL!</v>
      </c>
      <c r="AB46" s="29" t="e">
        <v>#NULL!</v>
      </c>
      <c r="AD46" s="29" t="e">
        <v>#NULL!</v>
      </c>
      <c r="AE46" s="29" t="e">
        <v>#NULL!</v>
      </c>
      <c r="AF46" s="29" t="e">
        <v>#NULL!</v>
      </c>
      <c r="AG46" s="29" t="e">
        <v>#NULL!</v>
      </c>
      <c r="AI46" s="29" t="e">
        <v>#NULL!</v>
      </c>
      <c r="AJ46" s="29" t="e">
        <v>#NULL!</v>
      </c>
      <c r="AK46" s="29" t="e">
        <v>#NULL!</v>
      </c>
      <c r="AL46" s="29" t="e">
        <v>#NULL!</v>
      </c>
      <c r="AM46" t="s">
        <v>705</v>
      </c>
      <c r="AN46" s="28">
        <v>26</v>
      </c>
      <c r="AO46" s="29" t="e">
        <v>#NULL!</v>
      </c>
      <c r="AP46" s="29" t="e">
        <v>#NULL!</v>
      </c>
      <c r="AQ46" s="29" t="e">
        <v>#NULL!</v>
      </c>
      <c r="AS46" s="29" t="e">
        <v>#NULL!</v>
      </c>
      <c r="AT46" s="29" t="e">
        <v>#NULL!</v>
      </c>
      <c r="AU46" s="29" t="e">
        <v>#NULL!</v>
      </c>
      <c r="AV46" s="29" t="e">
        <v>#NULL!</v>
      </c>
      <c r="AW46" t="s">
        <v>706</v>
      </c>
      <c r="AX46" s="28">
        <v>3</v>
      </c>
      <c r="AY46" s="29" t="e">
        <v>#NULL!</v>
      </c>
      <c r="AZ46" s="29" t="e">
        <v>#NULL!</v>
      </c>
      <c r="BA46" s="29" t="e">
        <v>#NULL!</v>
      </c>
      <c r="BC46" s="29" t="e">
        <v>#NULL!</v>
      </c>
      <c r="BD46" s="29" t="e">
        <v>#NULL!</v>
      </c>
      <c r="BE46" s="29" t="e">
        <v>#NULL!</v>
      </c>
      <c r="BF46" s="29" t="e">
        <v>#NULL!</v>
      </c>
      <c r="BH46" s="29" t="e">
        <v>#NULL!</v>
      </c>
      <c r="BI46" s="29" t="e">
        <v>#NULL!</v>
      </c>
      <c r="BJ46" s="29" t="e">
        <v>#NULL!</v>
      </c>
      <c r="BK46" s="29" t="e">
        <v>#NULL!</v>
      </c>
      <c r="BL46" s="28">
        <v>2</v>
      </c>
      <c r="BM46" s="28">
        <v>10</v>
      </c>
      <c r="BN46" t="s">
        <v>696</v>
      </c>
      <c r="BO46" s="28">
        <v>98</v>
      </c>
      <c r="BP46" s="29" t="e">
        <v>#NULL!</v>
      </c>
      <c r="BQ46" s="29" t="e">
        <v>#NULL!</v>
      </c>
      <c r="BR46" s="29" t="e">
        <v>#NULL!</v>
      </c>
      <c r="BS46" s="28">
        <v>10</v>
      </c>
      <c r="BT46" t="s">
        <v>707</v>
      </c>
      <c r="BU46" s="28">
        <v>7</v>
      </c>
      <c r="BV46" s="29" t="e">
        <v>#NULL!</v>
      </c>
      <c r="BW46" s="29" t="e">
        <v>#NULL!</v>
      </c>
      <c r="BX46" s="29" t="e">
        <v>#NULL!</v>
      </c>
      <c r="BZ46" s="29" t="e">
        <v>#NULL!</v>
      </c>
      <c r="CA46" s="29" t="e">
        <v>#NULL!</v>
      </c>
      <c r="CB46" s="29" t="e">
        <v>#NULL!</v>
      </c>
      <c r="CC46" s="28">
        <v>2</v>
      </c>
      <c r="CD46" s="29" t="e">
        <v>#NULL!</v>
      </c>
      <c r="CE46" s="28">
        <v>2</v>
      </c>
      <c r="CF46" s="29" t="e">
        <v>#NULL!</v>
      </c>
      <c r="CG46" s="29" t="e">
        <v>#NULL!</v>
      </c>
      <c r="CI46" s="29" t="e">
        <v>#NULL!</v>
      </c>
      <c r="CJ46" s="29" t="e">
        <v>#NULL!</v>
      </c>
      <c r="CK46" s="29" t="e">
        <v>#NULL!</v>
      </c>
      <c r="CL46" s="29" t="e">
        <v>#NULL!</v>
      </c>
      <c r="CN46" s="29" t="e">
        <v>#NULL!</v>
      </c>
      <c r="CO46" s="29" t="e">
        <v>#NULL!</v>
      </c>
      <c r="CP46" s="29" t="e">
        <v>#NULL!</v>
      </c>
      <c r="CQ46" s="28">
        <v>2</v>
      </c>
      <c r="CR46" s="29" t="e">
        <v>#NULL!</v>
      </c>
      <c r="CS46" s="28">
        <v>10</v>
      </c>
      <c r="CT46" s="28">
        <v>10</v>
      </c>
      <c r="CU46" s="28">
        <v>10</v>
      </c>
      <c r="CV46" s="28">
        <v>10</v>
      </c>
      <c r="CW46" s="28">
        <v>10</v>
      </c>
      <c r="CX46" s="28">
        <v>10</v>
      </c>
      <c r="CY46" s="28">
        <v>10</v>
      </c>
      <c r="DA46" s="29" t="e">
        <v>#NULL!</v>
      </c>
      <c r="DB46" s="29" t="e">
        <v>#NULL!</v>
      </c>
      <c r="DC46" s="28">
        <v>9</v>
      </c>
      <c r="DD46" s="29" t="e">
        <v>#NULL!</v>
      </c>
      <c r="DE46" s="29" t="e">
        <v>#NULL!</v>
      </c>
      <c r="DF46" s="29" t="e">
        <v>#NULL!</v>
      </c>
      <c r="DG46" s="29" t="e">
        <v>#NULL!</v>
      </c>
      <c r="DH46" s="29" t="e">
        <v>#NULL!</v>
      </c>
      <c r="DI46" s="29" t="e">
        <v>#NULL!</v>
      </c>
      <c r="DJ46" s="29" t="e">
        <v>#NULL!</v>
      </c>
      <c r="DK46" s="29" t="e">
        <v>#NULL!</v>
      </c>
      <c r="DL46" s="29" t="e">
        <v>#NULL!</v>
      </c>
      <c r="DN46" s="28">
        <v>1</v>
      </c>
      <c r="DP46" s="29" t="e">
        <v>#NULL!</v>
      </c>
      <c r="DQ46" s="29" t="e">
        <v>#NULL!</v>
      </c>
      <c r="DR46" s="29" t="e">
        <v>#NULL!</v>
      </c>
      <c r="DT46" s="29" t="e">
        <v>#NULL!</v>
      </c>
      <c r="DU46" s="29" t="e">
        <v>#NULL!</v>
      </c>
      <c r="DV46" s="29" t="e">
        <v>#NULL!</v>
      </c>
      <c r="DW46" s="28">
        <v>2</v>
      </c>
      <c r="DX46" s="28">
        <v>3</v>
      </c>
      <c r="DZ46" s="29" t="e">
        <v>#NULL!</v>
      </c>
      <c r="EA46" s="29" t="e">
        <v>#NULL!</v>
      </c>
      <c r="EI46" s="29" t="e">
        <v>#NULL!</v>
      </c>
      <c r="EJ46" s="29" t="e">
        <v>#NULL!</v>
      </c>
      <c r="EK46" s="29" t="e">
        <v>#NULL!</v>
      </c>
      <c r="EL46" s="29" t="e">
        <v>#NULL!</v>
      </c>
      <c r="EM46" s="28">
        <v>4</v>
      </c>
      <c r="EN46" s="28">
        <v>3</v>
      </c>
      <c r="EP46" s="28">
        <v>1</v>
      </c>
      <c r="EQ46" s="28">
        <v>1</v>
      </c>
      <c r="ER46" s="28">
        <v>2</v>
      </c>
      <c r="ES46" s="28">
        <v>78723</v>
      </c>
      <c r="ET46" s="28">
        <v>3</v>
      </c>
      <c r="EU46" s="28">
        <v>4</v>
      </c>
      <c r="EV46" s="28">
        <v>6</v>
      </c>
      <c r="EW46" s="28">
        <v>5</v>
      </c>
      <c r="EX46" s="28">
        <v>2</v>
      </c>
      <c r="EY46" t="s">
        <v>708</v>
      </c>
      <c r="EZ46" t="s">
        <v>709</v>
      </c>
      <c r="FB46" t="s">
        <v>710</v>
      </c>
      <c r="FC46" t="s">
        <v>711</v>
      </c>
      <c r="FD46" s="29" t="e">
        <v>#NULL!</v>
      </c>
      <c r="FE46" s="29" t="e">
        <v>#NULL!</v>
      </c>
      <c r="FF46" s="28">
        <v>3</v>
      </c>
      <c r="FH46" t="s">
        <v>712</v>
      </c>
      <c r="FI46" t="s">
        <v>713</v>
      </c>
    </row>
    <row r="47" spans="1:165" x14ac:dyDescent="0.15">
      <c r="A47" s="28">
        <v>300</v>
      </c>
      <c r="B47" s="28">
        <v>1</v>
      </c>
      <c r="C47" s="28">
        <v>2</v>
      </c>
      <c r="D47" s="28">
        <v>1</v>
      </c>
      <c r="E47" s="29" t="e">
        <v>#NULL!</v>
      </c>
      <c r="F47" s="28">
        <v>2</v>
      </c>
      <c r="G47" s="28">
        <v>2</v>
      </c>
      <c r="H47" s="28">
        <v>4</v>
      </c>
      <c r="I47" t="s">
        <v>714</v>
      </c>
      <c r="J47" s="28">
        <v>1</v>
      </c>
      <c r="K47" s="28">
        <v>6</v>
      </c>
      <c r="P47" s="29" t="e">
        <v>#NULL!</v>
      </c>
      <c r="Q47" s="29" t="e">
        <v>#NULL!</v>
      </c>
      <c r="R47" s="29" t="e">
        <v>#NULL!</v>
      </c>
      <c r="S47" s="29" t="e">
        <v>#NULL!</v>
      </c>
      <c r="T47" s="28">
        <v>10</v>
      </c>
      <c r="U47" s="28">
        <v>10</v>
      </c>
      <c r="V47" s="28">
        <v>10</v>
      </c>
      <c r="W47" s="28">
        <v>10</v>
      </c>
      <c r="Y47" s="29" t="e">
        <v>#NULL!</v>
      </c>
      <c r="Z47" s="29" t="e">
        <v>#NULL!</v>
      </c>
      <c r="AA47" s="29" t="e">
        <v>#NULL!</v>
      </c>
      <c r="AB47" s="29" t="e">
        <v>#NULL!</v>
      </c>
      <c r="AC47" t="s">
        <v>715</v>
      </c>
      <c r="AD47" s="28">
        <v>20</v>
      </c>
      <c r="AE47" s="29" t="e">
        <v>#NULL!</v>
      </c>
      <c r="AF47" s="29" t="e">
        <v>#NULL!</v>
      </c>
      <c r="AG47" s="29" t="e">
        <v>#NULL!</v>
      </c>
      <c r="AI47" s="29" t="e">
        <v>#NULL!</v>
      </c>
      <c r="AJ47" s="29" t="e">
        <v>#NULL!</v>
      </c>
      <c r="AK47" s="29" t="e">
        <v>#NULL!</v>
      </c>
      <c r="AL47" s="29" t="e">
        <v>#NULL!</v>
      </c>
      <c r="AM47" t="s">
        <v>716</v>
      </c>
      <c r="AN47" s="28">
        <v>22</v>
      </c>
      <c r="AO47" s="29" t="e">
        <v>#NULL!</v>
      </c>
      <c r="AP47" s="29" t="e">
        <v>#NULL!</v>
      </c>
      <c r="AQ47" s="29" t="e">
        <v>#NULL!</v>
      </c>
      <c r="AS47" s="29" t="e">
        <v>#NULL!</v>
      </c>
      <c r="AT47" s="29" t="e">
        <v>#NULL!</v>
      </c>
      <c r="AU47" s="29" t="e">
        <v>#NULL!</v>
      </c>
      <c r="AV47" s="29" t="e">
        <v>#NULL!</v>
      </c>
      <c r="AW47" t="s">
        <v>717</v>
      </c>
      <c r="AX47" s="28">
        <v>21</v>
      </c>
      <c r="AY47" s="29" t="e">
        <v>#NULL!</v>
      </c>
      <c r="AZ47" s="29" t="e">
        <v>#NULL!</v>
      </c>
      <c r="BA47" s="29" t="e">
        <v>#NULL!</v>
      </c>
      <c r="BC47" s="29" t="e">
        <v>#NULL!</v>
      </c>
      <c r="BD47" s="29" t="e">
        <v>#NULL!</v>
      </c>
      <c r="BE47" s="29" t="e">
        <v>#NULL!</v>
      </c>
      <c r="BF47" s="29" t="e">
        <v>#NULL!</v>
      </c>
      <c r="BG47" t="s">
        <v>718</v>
      </c>
      <c r="BH47" s="28">
        <v>97</v>
      </c>
      <c r="BI47" s="29" t="e">
        <v>#NULL!</v>
      </c>
      <c r="BJ47" s="29" t="e">
        <v>#NULL!</v>
      </c>
      <c r="BK47" s="29" t="e">
        <v>#NULL!</v>
      </c>
      <c r="BL47" s="28">
        <v>2</v>
      </c>
      <c r="BM47" s="28">
        <v>3</v>
      </c>
      <c r="BN47" t="s">
        <v>719</v>
      </c>
      <c r="BO47" s="28">
        <v>98</v>
      </c>
      <c r="BP47" s="29" t="e">
        <v>#NULL!</v>
      </c>
      <c r="BQ47" s="29" t="e">
        <v>#NULL!</v>
      </c>
      <c r="BR47" s="29" t="e">
        <v>#NULL!</v>
      </c>
      <c r="BS47" s="28">
        <v>5</v>
      </c>
      <c r="BT47" t="s">
        <v>720</v>
      </c>
      <c r="BU47" s="28">
        <v>6</v>
      </c>
      <c r="BV47" s="29" t="e">
        <v>#NULL!</v>
      </c>
      <c r="BW47" s="29" t="e">
        <v>#NULL!</v>
      </c>
      <c r="BX47" s="29" t="e">
        <v>#NULL!</v>
      </c>
      <c r="BZ47" s="29" t="e">
        <v>#NULL!</v>
      </c>
      <c r="CA47" s="29" t="e">
        <v>#NULL!</v>
      </c>
      <c r="CB47" s="29" t="e">
        <v>#NULL!</v>
      </c>
      <c r="CC47" s="28">
        <v>2</v>
      </c>
      <c r="CD47" s="29" t="e">
        <v>#NULL!</v>
      </c>
      <c r="CE47" s="28">
        <v>2</v>
      </c>
      <c r="CF47" s="29" t="e">
        <v>#NULL!</v>
      </c>
      <c r="CG47" s="29" t="e">
        <v>#NULL!</v>
      </c>
      <c r="CI47" s="29" t="e">
        <v>#NULL!</v>
      </c>
      <c r="CJ47" s="29" t="e">
        <v>#NULL!</v>
      </c>
      <c r="CK47" s="29" t="e">
        <v>#NULL!</v>
      </c>
      <c r="CL47" s="29" t="e">
        <v>#NULL!</v>
      </c>
      <c r="CN47" s="29" t="e">
        <v>#NULL!</v>
      </c>
      <c r="CO47" s="29" t="e">
        <v>#NULL!</v>
      </c>
      <c r="CP47" s="29" t="e">
        <v>#NULL!</v>
      </c>
      <c r="CQ47" s="28">
        <v>2</v>
      </c>
      <c r="CR47" s="29" t="e">
        <v>#NULL!</v>
      </c>
      <c r="CS47" s="28">
        <v>10</v>
      </c>
      <c r="CT47" s="28">
        <v>10</v>
      </c>
      <c r="CU47" s="28">
        <v>10</v>
      </c>
      <c r="CV47" s="28">
        <v>10</v>
      </c>
      <c r="CW47" s="28">
        <v>10</v>
      </c>
      <c r="CX47" s="28">
        <v>10</v>
      </c>
      <c r="CY47" s="28">
        <v>10</v>
      </c>
      <c r="DA47" s="29" t="e">
        <v>#NULL!</v>
      </c>
      <c r="DB47" s="29" t="e">
        <v>#NULL!</v>
      </c>
      <c r="DC47" s="28">
        <v>10</v>
      </c>
      <c r="DD47" s="29" t="e">
        <v>#NULL!</v>
      </c>
      <c r="DE47" s="29" t="e">
        <v>#NULL!</v>
      </c>
      <c r="DF47" s="29" t="e">
        <v>#NULL!</v>
      </c>
      <c r="DG47" s="29" t="e">
        <v>#NULL!</v>
      </c>
      <c r="DH47" s="29" t="e">
        <v>#NULL!</v>
      </c>
      <c r="DI47" s="29" t="e">
        <v>#NULL!</v>
      </c>
      <c r="DJ47" s="29" t="e">
        <v>#NULL!</v>
      </c>
      <c r="DK47" s="29" t="e">
        <v>#NULL!</v>
      </c>
      <c r="DL47" s="29" t="e">
        <v>#NULL!</v>
      </c>
      <c r="DN47" s="28">
        <v>1</v>
      </c>
      <c r="DP47" s="29" t="e">
        <v>#NULL!</v>
      </c>
      <c r="DQ47" s="29" t="e">
        <v>#NULL!</v>
      </c>
      <c r="DR47" s="29" t="e">
        <v>#NULL!</v>
      </c>
      <c r="DT47" s="29" t="e">
        <v>#NULL!</v>
      </c>
      <c r="DU47" s="29" t="e">
        <v>#NULL!</v>
      </c>
      <c r="DV47" s="29" t="e">
        <v>#NULL!</v>
      </c>
      <c r="DW47" s="28">
        <v>2</v>
      </c>
      <c r="DX47" s="28">
        <v>1</v>
      </c>
      <c r="DY47" t="s">
        <v>721</v>
      </c>
      <c r="DZ47" s="28">
        <v>8</v>
      </c>
      <c r="EA47" s="29" t="e">
        <v>#NULL!</v>
      </c>
      <c r="EI47" s="29" t="e">
        <v>#NULL!</v>
      </c>
      <c r="EJ47" s="29" t="e">
        <v>#NULL!</v>
      </c>
      <c r="EK47" s="29" t="e">
        <v>#NULL!</v>
      </c>
      <c r="EL47" s="29" t="e">
        <v>#NULL!</v>
      </c>
      <c r="EM47" s="28">
        <v>10</v>
      </c>
      <c r="EN47" s="28">
        <v>1</v>
      </c>
      <c r="EP47" s="28">
        <v>5</v>
      </c>
      <c r="EQ47" s="28">
        <v>1</v>
      </c>
      <c r="ER47" s="28">
        <v>1</v>
      </c>
      <c r="ES47" s="28">
        <v>78759</v>
      </c>
      <c r="ET47" s="28">
        <v>2</v>
      </c>
      <c r="EU47" s="28">
        <v>5</v>
      </c>
      <c r="EV47" s="28">
        <v>6</v>
      </c>
      <c r="EW47" s="28">
        <v>5</v>
      </c>
      <c r="EX47" s="28">
        <v>1</v>
      </c>
      <c r="EY47" t="s">
        <v>653</v>
      </c>
      <c r="EZ47" t="s">
        <v>722</v>
      </c>
      <c r="FB47" t="s">
        <v>723</v>
      </c>
      <c r="FC47" t="s">
        <v>724</v>
      </c>
      <c r="FD47" s="29" t="e">
        <v>#NULL!</v>
      </c>
      <c r="FE47" s="29" t="e">
        <v>#NULL!</v>
      </c>
      <c r="FF47" s="28">
        <v>3</v>
      </c>
      <c r="FH47" t="s">
        <v>725</v>
      </c>
      <c r="FI47" t="s">
        <v>726</v>
      </c>
    </row>
    <row r="48" spans="1:165" x14ac:dyDescent="0.15">
      <c r="A48" s="28">
        <v>301</v>
      </c>
      <c r="B48" s="28">
        <v>1</v>
      </c>
      <c r="C48" s="28">
        <v>2</v>
      </c>
      <c r="D48" s="28">
        <v>1</v>
      </c>
      <c r="E48" s="29" t="e">
        <v>#NULL!</v>
      </c>
      <c r="F48" s="28">
        <v>2</v>
      </c>
      <c r="G48" s="28">
        <v>2</v>
      </c>
      <c r="H48" s="28">
        <v>2</v>
      </c>
      <c r="J48" s="28">
        <v>1</v>
      </c>
      <c r="K48" s="28">
        <v>38</v>
      </c>
      <c r="N48" t="s">
        <v>727</v>
      </c>
      <c r="P48" s="29" t="e">
        <v>#NULL!</v>
      </c>
      <c r="Q48" s="29" t="e">
        <v>#NULL!</v>
      </c>
      <c r="R48" s="29" t="e">
        <v>#NULL!</v>
      </c>
      <c r="S48" s="29" t="e">
        <v>#NULL!</v>
      </c>
      <c r="T48" s="28">
        <v>1</v>
      </c>
      <c r="U48" s="28">
        <v>1</v>
      </c>
      <c r="V48" s="28">
        <v>1</v>
      </c>
      <c r="W48" s="28">
        <v>3</v>
      </c>
      <c r="X48" t="s">
        <v>728</v>
      </c>
      <c r="Y48" s="28">
        <v>5</v>
      </c>
      <c r="Z48" s="29" t="e">
        <v>#NULL!</v>
      </c>
      <c r="AA48" s="29" t="e">
        <v>#NULL!</v>
      </c>
      <c r="AB48" s="29" t="e">
        <v>#NULL!</v>
      </c>
      <c r="AD48" s="29" t="e">
        <v>#NULL!</v>
      </c>
      <c r="AE48" s="29" t="e">
        <v>#NULL!</v>
      </c>
      <c r="AF48" s="29" t="e">
        <v>#NULL!</v>
      </c>
      <c r="AG48" s="29" t="e">
        <v>#NULL!</v>
      </c>
      <c r="AH48" t="s">
        <v>729</v>
      </c>
      <c r="AI48" s="28">
        <v>5</v>
      </c>
      <c r="AJ48" s="29" t="e">
        <v>#NULL!</v>
      </c>
      <c r="AK48" s="29" t="e">
        <v>#NULL!</v>
      </c>
      <c r="AL48" s="29" t="e">
        <v>#NULL!</v>
      </c>
      <c r="AN48" s="29" t="e">
        <v>#NULL!</v>
      </c>
      <c r="AO48" s="29" t="e">
        <v>#NULL!</v>
      </c>
      <c r="AP48" s="29" t="e">
        <v>#NULL!</v>
      </c>
      <c r="AQ48" s="29" t="e">
        <v>#NULL!</v>
      </c>
      <c r="AR48" t="s">
        <v>730</v>
      </c>
      <c r="AS48" s="28">
        <v>5</v>
      </c>
      <c r="AT48" s="29" t="e">
        <v>#NULL!</v>
      </c>
      <c r="AU48" s="29" t="e">
        <v>#NULL!</v>
      </c>
      <c r="AV48" s="29" t="e">
        <v>#NULL!</v>
      </c>
      <c r="AX48" s="29" t="e">
        <v>#NULL!</v>
      </c>
      <c r="AY48" s="29" t="e">
        <v>#NULL!</v>
      </c>
      <c r="AZ48" s="29" t="e">
        <v>#NULL!</v>
      </c>
      <c r="BA48" s="29" t="e">
        <v>#NULL!</v>
      </c>
      <c r="BB48" t="s">
        <v>731</v>
      </c>
      <c r="BC48" s="28">
        <v>28</v>
      </c>
      <c r="BD48" s="29" t="e">
        <v>#NULL!</v>
      </c>
      <c r="BE48" s="29" t="e">
        <v>#NULL!</v>
      </c>
      <c r="BF48" s="29" t="e">
        <v>#NULL!</v>
      </c>
      <c r="BH48" s="29" t="e">
        <v>#NULL!</v>
      </c>
      <c r="BI48" s="29" t="e">
        <v>#NULL!</v>
      </c>
      <c r="BJ48" s="29" t="e">
        <v>#NULL!</v>
      </c>
      <c r="BK48" s="29" t="e">
        <v>#NULL!</v>
      </c>
      <c r="BL48" s="28">
        <v>4</v>
      </c>
      <c r="BM48" s="29" t="e">
        <v>#NULL!</v>
      </c>
      <c r="BO48" s="29" t="e">
        <v>#NULL!</v>
      </c>
      <c r="BP48" s="29" t="e">
        <v>#NULL!</v>
      </c>
      <c r="BQ48" s="29" t="e">
        <v>#NULL!</v>
      </c>
      <c r="BR48" s="29" t="e">
        <v>#NULL!</v>
      </c>
      <c r="BS48" s="29" t="e">
        <v>#NULL!</v>
      </c>
      <c r="BU48" s="29" t="e">
        <v>#NULL!</v>
      </c>
      <c r="BV48" s="29" t="e">
        <v>#NULL!</v>
      </c>
      <c r="BW48" s="29" t="e">
        <v>#NULL!</v>
      </c>
      <c r="BX48" s="28">
        <v>1</v>
      </c>
      <c r="BY48" t="s">
        <v>732</v>
      </c>
      <c r="BZ48" s="28">
        <v>4</v>
      </c>
      <c r="CA48" s="29" t="e">
        <v>#NULL!</v>
      </c>
      <c r="CB48" s="29" t="e">
        <v>#NULL!</v>
      </c>
      <c r="CC48" s="28">
        <v>2</v>
      </c>
      <c r="CD48" s="29" t="e">
        <v>#NULL!</v>
      </c>
      <c r="CE48" s="28">
        <v>2</v>
      </c>
      <c r="CF48" s="29" t="e">
        <v>#NULL!</v>
      </c>
      <c r="CG48" s="29" t="e">
        <v>#NULL!</v>
      </c>
      <c r="CI48" s="29" t="e">
        <v>#NULL!</v>
      </c>
      <c r="CJ48" s="29" t="e">
        <v>#NULL!</v>
      </c>
      <c r="CK48" s="29" t="e">
        <v>#NULL!</v>
      </c>
      <c r="CL48" s="29" t="e">
        <v>#NULL!</v>
      </c>
      <c r="CN48" s="29" t="e">
        <v>#NULL!</v>
      </c>
      <c r="CO48" s="29" t="e">
        <v>#NULL!</v>
      </c>
      <c r="CP48" s="29" t="e">
        <v>#NULL!</v>
      </c>
      <c r="CQ48" s="28">
        <v>2</v>
      </c>
      <c r="CR48" s="29" t="e">
        <v>#NULL!</v>
      </c>
      <c r="CS48" s="28">
        <v>2</v>
      </c>
      <c r="CT48" s="28">
        <v>1</v>
      </c>
      <c r="CU48" s="28">
        <v>2</v>
      </c>
      <c r="CV48" s="28">
        <v>1</v>
      </c>
      <c r="CW48" s="28">
        <v>1</v>
      </c>
      <c r="CX48" s="28">
        <v>2</v>
      </c>
      <c r="CY48" s="28">
        <v>1</v>
      </c>
      <c r="CZ48" t="s">
        <v>733</v>
      </c>
      <c r="DA48" s="28">
        <v>3</v>
      </c>
      <c r="DB48" s="29" t="e">
        <v>#NULL!</v>
      </c>
      <c r="DC48" s="28">
        <v>1</v>
      </c>
      <c r="DD48" s="28">
        <v>0</v>
      </c>
      <c r="DE48" s="28">
        <v>1</v>
      </c>
      <c r="DF48" s="28">
        <v>0</v>
      </c>
      <c r="DG48" s="28">
        <v>0</v>
      </c>
      <c r="DH48" s="28">
        <v>0</v>
      </c>
      <c r="DI48" s="28">
        <v>1</v>
      </c>
      <c r="DJ48" s="28">
        <v>0</v>
      </c>
      <c r="DK48" s="28">
        <v>0</v>
      </c>
      <c r="DL48" s="28">
        <v>0</v>
      </c>
      <c r="DN48" s="28">
        <v>2</v>
      </c>
      <c r="DO48" t="s">
        <v>734</v>
      </c>
      <c r="DP48" s="28">
        <v>99</v>
      </c>
      <c r="DQ48" s="29" t="e">
        <v>#NULL!</v>
      </c>
      <c r="DR48" s="29" t="e">
        <v>#NULL!</v>
      </c>
      <c r="DT48" s="29" t="e">
        <v>#NULL!</v>
      </c>
      <c r="DU48" s="29" t="e">
        <v>#NULL!</v>
      </c>
      <c r="DV48" s="29" t="e">
        <v>#NULL!</v>
      </c>
      <c r="DW48" s="28">
        <v>1</v>
      </c>
      <c r="DX48" s="28">
        <v>1</v>
      </c>
      <c r="DY48" t="s">
        <v>652</v>
      </c>
      <c r="DZ48" s="28">
        <v>99</v>
      </c>
      <c r="EA48" s="29" t="e">
        <v>#NULL!</v>
      </c>
      <c r="EI48" s="29" t="e">
        <v>#NULL!</v>
      </c>
      <c r="EJ48" s="29" t="e">
        <v>#NULL!</v>
      </c>
      <c r="EK48" s="29" t="e">
        <v>#NULL!</v>
      </c>
      <c r="EL48" s="29" t="e">
        <v>#NULL!</v>
      </c>
      <c r="EM48" s="28">
        <v>10</v>
      </c>
      <c r="EN48" s="28">
        <v>3</v>
      </c>
      <c r="EP48" s="28">
        <v>5</v>
      </c>
      <c r="EQ48" s="28">
        <v>3</v>
      </c>
      <c r="ER48" s="28">
        <v>2</v>
      </c>
      <c r="ES48" s="28">
        <v>78758</v>
      </c>
      <c r="ET48" s="28">
        <v>2</v>
      </c>
      <c r="EU48" s="28">
        <v>5</v>
      </c>
      <c r="EV48" s="28">
        <v>3</v>
      </c>
      <c r="EW48" s="28">
        <v>5</v>
      </c>
      <c r="EX48" s="28">
        <v>1</v>
      </c>
      <c r="EY48" t="s">
        <v>735</v>
      </c>
      <c r="EZ48" t="s">
        <v>736</v>
      </c>
      <c r="FB48" t="s">
        <v>737</v>
      </c>
      <c r="FC48" t="s">
        <v>738</v>
      </c>
      <c r="FD48" s="29" t="e">
        <v>#NULL!</v>
      </c>
      <c r="FE48" s="29" t="e">
        <v>#NULL!</v>
      </c>
      <c r="FF48" s="28">
        <v>1</v>
      </c>
      <c r="FH48" t="s">
        <v>739</v>
      </c>
      <c r="FI48" t="s">
        <v>740</v>
      </c>
    </row>
    <row r="49" spans="1:165" x14ac:dyDescent="0.15">
      <c r="A49" s="28">
        <v>307</v>
      </c>
      <c r="B49" s="28">
        <v>1</v>
      </c>
      <c r="C49" s="28">
        <v>2</v>
      </c>
      <c r="D49" s="28">
        <v>1</v>
      </c>
      <c r="E49" s="29" t="e">
        <v>#NULL!</v>
      </c>
      <c r="F49" s="28">
        <v>2</v>
      </c>
      <c r="G49" s="28">
        <v>2</v>
      </c>
      <c r="H49" s="28">
        <v>2</v>
      </c>
      <c r="J49" s="28">
        <v>1</v>
      </c>
      <c r="K49" s="28">
        <v>10</v>
      </c>
      <c r="P49" s="29" t="e">
        <v>#NULL!</v>
      </c>
      <c r="Q49" s="29" t="e">
        <v>#NULL!</v>
      </c>
      <c r="R49" s="29" t="e">
        <v>#NULL!</v>
      </c>
      <c r="S49" s="29" t="e">
        <v>#NULL!</v>
      </c>
      <c r="T49" s="28">
        <v>10</v>
      </c>
      <c r="U49" s="28">
        <v>10</v>
      </c>
      <c r="V49" s="28">
        <v>10</v>
      </c>
      <c r="W49" s="28">
        <v>9</v>
      </c>
      <c r="Y49" s="29" t="e">
        <v>#NULL!</v>
      </c>
      <c r="Z49" s="29" t="e">
        <v>#NULL!</v>
      </c>
      <c r="AA49" s="29" t="e">
        <v>#NULL!</v>
      </c>
      <c r="AB49" s="29" t="e">
        <v>#NULL!</v>
      </c>
      <c r="AC49" t="s">
        <v>258</v>
      </c>
      <c r="AD49" s="28">
        <v>97</v>
      </c>
      <c r="AE49" s="29" t="e">
        <v>#NULL!</v>
      </c>
      <c r="AF49" s="29" t="e">
        <v>#NULL!</v>
      </c>
      <c r="AG49" s="29" t="e">
        <v>#NULL!</v>
      </c>
      <c r="AI49" s="29" t="e">
        <v>#NULL!</v>
      </c>
      <c r="AJ49" s="29" t="e">
        <v>#NULL!</v>
      </c>
      <c r="AK49" s="29" t="e">
        <v>#NULL!</v>
      </c>
      <c r="AL49" s="29" t="e">
        <v>#NULL!</v>
      </c>
      <c r="AM49" t="s">
        <v>258</v>
      </c>
      <c r="AN49" s="28">
        <v>97</v>
      </c>
      <c r="AO49" s="29" t="e">
        <v>#NULL!</v>
      </c>
      <c r="AP49" s="29" t="e">
        <v>#NULL!</v>
      </c>
      <c r="AQ49" s="29" t="e">
        <v>#NULL!</v>
      </c>
      <c r="AS49" s="29" t="e">
        <v>#NULL!</v>
      </c>
      <c r="AT49" s="29" t="e">
        <v>#NULL!</v>
      </c>
      <c r="AU49" s="29" t="e">
        <v>#NULL!</v>
      </c>
      <c r="AV49" s="29" t="e">
        <v>#NULL!</v>
      </c>
      <c r="AW49" t="s">
        <v>258</v>
      </c>
      <c r="AX49" s="28">
        <v>97</v>
      </c>
      <c r="AY49" s="29" t="e">
        <v>#NULL!</v>
      </c>
      <c r="AZ49" s="29" t="e">
        <v>#NULL!</v>
      </c>
      <c r="BA49" s="29" t="e">
        <v>#NULL!</v>
      </c>
      <c r="BC49" s="29" t="e">
        <v>#NULL!</v>
      </c>
      <c r="BD49" s="29" t="e">
        <v>#NULL!</v>
      </c>
      <c r="BE49" s="29" t="e">
        <v>#NULL!</v>
      </c>
      <c r="BF49" s="29" t="e">
        <v>#NULL!</v>
      </c>
      <c r="BG49" t="s">
        <v>258</v>
      </c>
      <c r="BH49" s="28">
        <v>97</v>
      </c>
      <c r="BI49" s="29" t="e">
        <v>#NULL!</v>
      </c>
      <c r="BJ49" s="29" t="e">
        <v>#NULL!</v>
      </c>
      <c r="BK49" s="29" t="e">
        <v>#NULL!</v>
      </c>
      <c r="BL49" s="28">
        <v>2</v>
      </c>
      <c r="BM49" s="28">
        <v>8</v>
      </c>
      <c r="BN49" t="s">
        <v>741</v>
      </c>
      <c r="BO49" s="28">
        <v>98</v>
      </c>
      <c r="BP49" s="29" t="e">
        <v>#NULL!</v>
      </c>
      <c r="BQ49" s="29" t="e">
        <v>#NULL!</v>
      </c>
      <c r="BR49" s="29" t="e">
        <v>#NULL!</v>
      </c>
      <c r="BS49" s="28">
        <v>11</v>
      </c>
      <c r="BT49" t="s">
        <v>258</v>
      </c>
      <c r="BU49" s="28">
        <v>97</v>
      </c>
      <c r="BV49" s="29" t="e">
        <v>#NULL!</v>
      </c>
      <c r="BW49" s="29" t="e">
        <v>#NULL!</v>
      </c>
      <c r="BX49" s="29" t="e">
        <v>#NULL!</v>
      </c>
      <c r="BZ49" s="29" t="e">
        <v>#NULL!</v>
      </c>
      <c r="CA49" s="29" t="e">
        <v>#NULL!</v>
      </c>
      <c r="CB49" s="29" t="e">
        <v>#NULL!</v>
      </c>
      <c r="CC49" s="28">
        <v>2</v>
      </c>
      <c r="CD49" s="29" t="e">
        <v>#NULL!</v>
      </c>
      <c r="CE49" s="28">
        <v>2</v>
      </c>
      <c r="CF49" s="29" t="e">
        <v>#NULL!</v>
      </c>
      <c r="CG49" s="29" t="e">
        <v>#NULL!</v>
      </c>
      <c r="CI49" s="29" t="e">
        <v>#NULL!</v>
      </c>
      <c r="CJ49" s="29" t="e">
        <v>#NULL!</v>
      </c>
      <c r="CK49" s="29" t="e">
        <v>#NULL!</v>
      </c>
      <c r="CL49" s="29" t="e">
        <v>#NULL!</v>
      </c>
      <c r="CN49" s="29" t="e">
        <v>#NULL!</v>
      </c>
      <c r="CO49" s="29" t="e">
        <v>#NULL!</v>
      </c>
      <c r="CP49" s="29" t="e">
        <v>#NULL!</v>
      </c>
      <c r="CQ49" s="28">
        <v>2</v>
      </c>
      <c r="CR49" s="29" t="e">
        <v>#NULL!</v>
      </c>
      <c r="CS49" s="28">
        <v>10</v>
      </c>
      <c r="CT49" s="28">
        <v>10</v>
      </c>
      <c r="CU49" s="28">
        <v>10</v>
      </c>
      <c r="CV49" s="28">
        <v>10</v>
      </c>
      <c r="CW49" s="28">
        <v>10</v>
      </c>
      <c r="CX49" s="28">
        <v>10</v>
      </c>
      <c r="CY49" s="28">
        <v>10</v>
      </c>
      <c r="DA49" s="29" t="e">
        <v>#NULL!</v>
      </c>
      <c r="DB49" s="29" t="e">
        <v>#NULL!</v>
      </c>
      <c r="DC49" s="28">
        <v>10</v>
      </c>
      <c r="DD49" s="29" t="e">
        <v>#NULL!</v>
      </c>
      <c r="DE49" s="29" t="e">
        <v>#NULL!</v>
      </c>
      <c r="DF49" s="29" t="e">
        <v>#NULL!</v>
      </c>
      <c r="DG49" s="29" t="e">
        <v>#NULL!</v>
      </c>
      <c r="DH49" s="29" t="e">
        <v>#NULL!</v>
      </c>
      <c r="DI49" s="29" t="e">
        <v>#NULL!</v>
      </c>
      <c r="DJ49" s="29" t="e">
        <v>#NULL!</v>
      </c>
      <c r="DK49" s="29" t="e">
        <v>#NULL!</v>
      </c>
      <c r="DL49" s="29" t="e">
        <v>#NULL!</v>
      </c>
      <c r="DN49" s="28">
        <v>1</v>
      </c>
      <c r="DP49" s="29" t="e">
        <v>#NULL!</v>
      </c>
      <c r="DQ49" s="29" t="e">
        <v>#NULL!</v>
      </c>
      <c r="DR49" s="29" t="e">
        <v>#NULL!</v>
      </c>
      <c r="DT49" s="29" t="e">
        <v>#NULL!</v>
      </c>
      <c r="DU49" s="29" t="e">
        <v>#NULL!</v>
      </c>
      <c r="DV49" s="29" t="e">
        <v>#NULL!</v>
      </c>
      <c r="DW49" s="28">
        <v>3</v>
      </c>
      <c r="DX49" s="28">
        <v>1</v>
      </c>
      <c r="DY49" t="s">
        <v>742</v>
      </c>
      <c r="DZ49" s="28">
        <v>99</v>
      </c>
      <c r="EA49" s="29" t="e">
        <v>#NULL!</v>
      </c>
      <c r="EI49" s="29" t="e">
        <v>#NULL!</v>
      </c>
      <c r="EJ49" s="29" t="e">
        <v>#NULL!</v>
      </c>
      <c r="EK49" s="29" t="e">
        <v>#NULL!</v>
      </c>
      <c r="EL49" s="29" t="e">
        <v>#NULL!</v>
      </c>
      <c r="EM49" s="28">
        <v>6</v>
      </c>
      <c r="EN49" s="28">
        <v>2</v>
      </c>
      <c r="EP49" s="28">
        <v>1</v>
      </c>
      <c r="EQ49" s="28">
        <v>2</v>
      </c>
      <c r="ER49" s="28">
        <v>1</v>
      </c>
      <c r="ES49" s="28">
        <v>78731</v>
      </c>
      <c r="ET49" s="28">
        <v>2</v>
      </c>
      <c r="EU49" s="28">
        <v>4</v>
      </c>
      <c r="EV49" s="28">
        <v>3</v>
      </c>
      <c r="EW49" s="28">
        <v>5</v>
      </c>
      <c r="EX49" s="28">
        <v>2</v>
      </c>
      <c r="EY49" t="s">
        <v>743</v>
      </c>
      <c r="EZ49" t="s">
        <v>744</v>
      </c>
      <c r="FB49" t="s">
        <v>745</v>
      </c>
      <c r="FC49" t="s">
        <v>746</v>
      </c>
      <c r="FD49" s="29" t="e">
        <v>#NULL!</v>
      </c>
      <c r="FE49" s="29" t="e">
        <v>#NULL!</v>
      </c>
      <c r="FF49" s="28">
        <v>3</v>
      </c>
      <c r="FH49" t="s">
        <v>747</v>
      </c>
      <c r="FI49" t="s">
        <v>748</v>
      </c>
    </row>
    <row r="50" spans="1:165" x14ac:dyDescent="0.15">
      <c r="A50" s="28">
        <v>312</v>
      </c>
      <c r="B50" s="28">
        <v>1</v>
      </c>
      <c r="C50" s="28">
        <v>2</v>
      </c>
      <c r="D50" s="28">
        <v>1</v>
      </c>
      <c r="E50" s="29" t="e">
        <v>#NULL!</v>
      </c>
      <c r="F50" s="28">
        <v>2</v>
      </c>
      <c r="G50" s="28">
        <v>2</v>
      </c>
      <c r="H50" s="28">
        <v>3</v>
      </c>
      <c r="J50" s="28">
        <v>1</v>
      </c>
      <c r="K50" s="28">
        <v>21</v>
      </c>
      <c r="P50" s="29" t="e">
        <v>#NULL!</v>
      </c>
      <c r="Q50" s="29" t="e">
        <v>#NULL!</v>
      </c>
      <c r="R50" s="29" t="e">
        <v>#NULL!</v>
      </c>
      <c r="S50" s="29" t="e">
        <v>#NULL!</v>
      </c>
      <c r="T50" s="28">
        <v>8</v>
      </c>
      <c r="U50" s="28">
        <v>9</v>
      </c>
      <c r="V50" s="28">
        <v>8</v>
      </c>
      <c r="W50" s="28">
        <v>8</v>
      </c>
      <c r="Y50" s="29" t="e">
        <v>#NULL!</v>
      </c>
      <c r="Z50" s="29" t="e">
        <v>#NULL!</v>
      </c>
      <c r="AA50" s="29" t="e">
        <v>#NULL!</v>
      </c>
      <c r="AB50" s="29" t="e">
        <v>#NULL!</v>
      </c>
      <c r="AC50" t="s">
        <v>442</v>
      </c>
      <c r="AD50" s="28">
        <v>20</v>
      </c>
      <c r="AE50" s="29" t="e">
        <v>#NULL!</v>
      </c>
      <c r="AF50" s="29" t="e">
        <v>#NULL!</v>
      </c>
      <c r="AG50" s="29" t="e">
        <v>#NULL!</v>
      </c>
      <c r="AI50" s="29" t="e">
        <v>#NULL!</v>
      </c>
      <c r="AJ50" s="29" t="e">
        <v>#NULL!</v>
      </c>
      <c r="AK50" s="29" t="e">
        <v>#NULL!</v>
      </c>
      <c r="AL50" s="29" t="e">
        <v>#NULL!</v>
      </c>
      <c r="AM50" t="s">
        <v>442</v>
      </c>
      <c r="AN50" s="28">
        <v>27</v>
      </c>
      <c r="AO50" s="29" t="e">
        <v>#NULL!</v>
      </c>
      <c r="AP50" s="29" t="e">
        <v>#NULL!</v>
      </c>
      <c r="AQ50" s="29" t="e">
        <v>#NULL!</v>
      </c>
      <c r="AS50" s="29" t="e">
        <v>#NULL!</v>
      </c>
      <c r="AT50" s="29" t="e">
        <v>#NULL!</v>
      </c>
      <c r="AU50" s="29" t="e">
        <v>#NULL!</v>
      </c>
      <c r="AV50" s="29" t="e">
        <v>#NULL!</v>
      </c>
      <c r="AW50" t="s">
        <v>442</v>
      </c>
      <c r="AX50" s="28">
        <v>27</v>
      </c>
      <c r="AY50" s="29" t="e">
        <v>#NULL!</v>
      </c>
      <c r="AZ50" s="29" t="e">
        <v>#NULL!</v>
      </c>
      <c r="BA50" s="29" t="e">
        <v>#NULL!</v>
      </c>
      <c r="BC50" s="29" t="e">
        <v>#NULL!</v>
      </c>
      <c r="BD50" s="29" t="e">
        <v>#NULL!</v>
      </c>
      <c r="BE50" s="29" t="e">
        <v>#NULL!</v>
      </c>
      <c r="BF50" s="29" t="e">
        <v>#NULL!</v>
      </c>
      <c r="BG50" t="s">
        <v>442</v>
      </c>
      <c r="BH50" s="28">
        <v>28</v>
      </c>
      <c r="BI50" s="29" t="e">
        <v>#NULL!</v>
      </c>
      <c r="BJ50" s="29" t="e">
        <v>#NULL!</v>
      </c>
      <c r="BK50" s="29" t="e">
        <v>#NULL!</v>
      </c>
      <c r="BL50" s="28">
        <v>2</v>
      </c>
      <c r="BM50" s="28">
        <v>5</v>
      </c>
      <c r="BN50" t="s">
        <v>359</v>
      </c>
      <c r="BO50" s="28">
        <v>97</v>
      </c>
      <c r="BP50" s="29" t="e">
        <v>#NULL!</v>
      </c>
      <c r="BQ50" s="29" t="e">
        <v>#NULL!</v>
      </c>
      <c r="BR50" s="29" t="e">
        <v>#NULL!</v>
      </c>
      <c r="BS50" s="28">
        <v>10</v>
      </c>
      <c r="BT50" t="s">
        <v>749</v>
      </c>
      <c r="BU50" s="28">
        <v>20</v>
      </c>
      <c r="BV50" s="29" t="e">
        <v>#NULL!</v>
      </c>
      <c r="BW50" s="29" t="e">
        <v>#NULL!</v>
      </c>
      <c r="BX50" s="29" t="e">
        <v>#NULL!</v>
      </c>
      <c r="BZ50" s="29" t="e">
        <v>#NULL!</v>
      </c>
      <c r="CA50" s="29" t="e">
        <v>#NULL!</v>
      </c>
      <c r="CB50" s="29" t="e">
        <v>#NULL!</v>
      </c>
      <c r="CC50" s="28">
        <v>2</v>
      </c>
      <c r="CD50" s="29" t="e">
        <v>#NULL!</v>
      </c>
      <c r="CE50" s="28">
        <v>2</v>
      </c>
      <c r="CF50" s="29" t="e">
        <v>#NULL!</v>
      </c>
      <c r="CG50" s="29" t="e">
        <v>#NULL!</v>
      </c>
      <c r="CI50" s="29" t="e">
        <v>#NULL!</v>
      </c>
      <c r="CJ50" s="29" t="e">
        <v>#NULL!</v>
      </c>
      <c r="CK50" s="29" t="e">
        <v>#NULL!</v>
      </c>
      <c r="CL50" s="29" t="e">
        <v>#NULL!</v>
      </c>
      <c r="CN50" s="29" t="e">
        <v>#NULL!</v>
      </c>
      <c r="CO50" s="29" t="e">
        <v>#NULL!</v>
      </c>
      <c r="CP50" s="29" t="e">
        <v>#NULL!</v>
      </c>
      <c r="CQ50" s="28">
        <v>2</v>
      </c>
      <c r="CR50" s="29" t="e">
        <v>#NULL!</v>
      </c>
      <c r="CS50" s="28">
        <v>10</v>
      </c>
      <c r="CT50" s="28">
        <v>8</v>
      </c>
      <c r="CU50" s="28">
        <v>11</v>
      </c>
      <c r="CV50" s="28">
        <v>8</v>
      </c>
      <c r="CW50" s="28">
        <v>8</v>
      </c>
      <c r="CX50" s="28">
        <v>10</v>
      </c>
      <c r="CY50" s="28">
        <v>10</v>
      </c>
      <c r="DA50" s="29" t="e">
        <v>#NULL!</v>
      </c>
      <c r="DB50" s="29" t="e">
        <v>#NULL!</v>
      </c>
      <c r="DC50" s="28">
        <v>9</v>
      </c>
      <c r="DD50" s="29" t="e">
        <v>#NULL!</v>
      </c>
      <c r="DE50" s="29" t="e">
        <v>#NULL!</v>
      </c>
      <c r="DF50" s="29" t="e">
        <v>#NULL!</v>
      </c>
      <c r="DG50" s="29" t="e">
        <v>#NULL!</v>
      </c>
      <c r="DH50" s="29" t="e">
        <v>#NULL!</v>
      </c>
      <c r="DI50" s="29" t="e">
        <v>#NULL!</v>
      </c>
      <c r="DJ50" s="29" t="e">
        <v>#NULL!</v>
      </c>
      <c r="DK50" s="29" t="e">
        <v>#NULL!</v>
      </c>
      <c r="DL50" s="29" t="e">
        <v>#NULL!</v>
      </c>
      <c r="DN50" s="28">
        <v>1</v>
      </c>
      <c r="DP50" s="29" t="e">
        <v>#NULL!</v>
      </c>
      <c r="DQ50" s="29" t="e">
        <v>#NULL!</v>
      </c>
      <c r="DR50" s="29" t="e">
        <v>#NULL!</v>
      </c>
      <c r="DT50" s="29" t="e">
        <v>#NULL!</v>
      </c>
      <c r="DU50" s="29" t="e">
        <v>#NULL!</v>
      </c>
      <c r="DV50" s="29" t="e">
        <v>#NULL!</v>
      </c>
      <c r="DW50" s="28">
        <v>2</v>
      </c>
      <c r="DX50" s="28">
        <v>2</v>
      </c>
      <c r="DZ50" s="29" t="e">
        <v>#NULL!</v>
      </c>
      <c r="EA50" s="29" t="e">
        <v>#NULL!</v>
      </c>
      <c r="EI50" s="29" t="e">
        <v>#NULL!</v>
      </c>
      <c r="EJ50" s="29" t="e">
        <v>#NULL!</v>
      </c>
      <c r="EK50" s="29" t="e">
        <v>#NULL!</v>
      </c>
      <c r="EL50" s="29" t="e">
        <v>#NULL!</v>
      </c>
      <c r="EM50" s="28">
        <v>8</v>
      </c>
      <c r="EN50" s="28">
        <v>1</v>
      </c>
      <c r="EP50" s="28">
        <v>1</v>
      </c>
      <c r="EQ50" s="28">
        <v>5</v>
      </c>
      <c r="ER50" s="28">
        <v>2</v>
      </c>
      <c r="ES50" s="28">
        <v>78758</v>
      </c>
      <c r="ET50" s="28">
        <v>2</v>
      </c>
      <c r="EU50" s="28">
        <v>5</v>
      </c>
      <c r="EV50" s="28">
        <v>6</v>
      </c>
      <c r="EW50" s="28">
        <v>5</v>
      </c>
      <c r="EX50" s="28">
        <v>1</v>
      </c>
      <c r="EY50" t="s">
        <v>654</v>
      </c>
      <c r="EZ50" t="s">
        <v>750</v>
      </c>
      <c r="FB50" t="s">
        <v>751</v>
      </c>
      <c r="FC50" t="s">
        <v>752</v>
      </c>
      <c r="FD50" s="29" t="e">
        <v>#NULL!</v>
      </c>
      <c r="FE50" s="29" t="e">
        <v>#NULL!</v>
      </c>
      <c r="FF50" s="28">
        <v>1</v>
      </c>
      <c r="FH50" t="s">
        <v>753</v>
      </c>
      <c r="FI50" t="s">
        <v>754</v>
      </c>
    </row>
    <row r="51" spans="1:165" x14ac:dyDescent="0.15">
      <c r="A51" s="28">
        <v>313</v>
      </c>
      <c r="B51" s="28">
        <v>1</v>
      </c>
      <c r="C51" s="28">
        <v>2</v>
      </c>
      <c r="D51" s="28">
        <v>1</v>
      </c>
      <c r="E51" s="29" t="e">
        <v>#NULL!</v>
      </c>
      <c r="F51" s="28">
        <v>2</v>
      </c>
      <c r="G51" s="28">
        <v>2</v>
      </c>
      <c r="H51" s="28">
        <v>2</v>
      </c>
      <c r="J51" s="28">
        <v>1</v>
      </c>
      <c r="K51" s="28">
        <v>17</v>
      </c>
      <c r="P51" s="29" t="e">
        <v>#NULL!</v>
      </c>
      <c r="Q51" s="29" t="e">
        <v>#NULL!</v>
      </c>
      <c r="R51" s="29" t="e">
        <v>#NULL!</v>
      </c>
      <c r="S51" s="29" t="e">
        <v>#NULL!</v>
      </c>
      <c r="T51" s="28">
        <v>11</v>
      </c>
      <c r="U51" s="28">
        <v>5</v>
      </c>
      <c r="V51" s="28">
        <v>11</v>
      </c>
      <c r="W51" s="28">
        <v>11</v>
      </c>
      <c r="Y51" s="29" t="e">
        <v>#NULL!</v>
      </c>
      <c r="Z51" s="29" t="e">
        <v>#NULL!</v>
      </c>
      <c r="AA51" s="29" t="e">
        <v>#NULL!</v>
      </c>
      <c r="AB51" s="29" t="e">
        <v>#NULL!</v>
      </c>
      <c r="AD51" s="29" t="e">
        <v>#NULL!</v>
      </c>
      <c r="AE51" s="29" t="e">
        <v>#NULL!</v>
      </c>
      <c r="AF51" s="29" t="e">
        <v>#NULL!</v>
      </c>
      <c r="AG51" s="29" t="e">
        <v>#NULL!</v>
      </c>
      <c r="AI51" s="29" t="e">
        <v>#NULL!</v>
      </c>
      <c r="AJ51" s="29" t="e">
        <v>#NULL!</v>
      </c>
      <c r="AK51" s="29" t="e">
        <v>#NULL!</v>
      </c>
      <c r="AL51" s="29" t="e">
        <v>#NULL!</v>
      </c>
      <c r="AN51" s="29" t="e">
        <v>#NULL!</v>
      </c>
      <c r="AO51" s="29" t="e">
        <v>#NULL!</v>
      </c>
      <c r="AP51" s="29" t="e">
        <v>#NULL!</v>
      </c>
      <c r="AQ51" s="29" t="e">
        <v>#NULL!</v>
      </c>
      <c r="AS51" s="29" t="e">
        <v>#NULL!</v>
      </c>
      <c r="AT51" s="29" t="e">
        <v>#NULL!</v>
      </c>
      <c r="AU51" s="29" t="e">
        <v>#NULL!</v>
      </c>
      <c r="AV51" s="29" t="e">
        <v>#NULL!</v>
      </c>
      <c r="AX51" s="29" t="e">
        <v>#NULL!</v>
      </c>
      <c r="AY51" s="29" t="e">
        <v>#NULL!</v>
      </c>
      <c r="AZ51" s="29" t="e">
        <v>#NULL!</v>
      </c>
      <c r="BA51" s="29" t="e">
        <v>#NULL!</v>
      </c>
      <c r="BC51" s="29" t="e">
        <v>#NULL!</v>
      </c>
      <c r="BD51" s="29" t="e">
        <v>#NULL!</v>
      </c>
      <c r="BE51" s="29" t="e">
        <v>#NULL!</v>
      </c>
      <c r="BF51" s="29" t="e">
        <v>#NULL!</v>
      </c>
      <c r="BH51" s="29" t="e">
        <v>#NULL!</v>
      </c>
      <c r="BI51" s="29" t="e">
        <v>#NULL!</v>
      </c>
      <c r="BJ51" s="29" t="e">
        <v>#NULL!</v>
      </c>
      <c r="BK51" s="29" t="e">
        <v>#NULL!</v>
      </c>
      <c r="BL51" s="28">
        <v>2</v>
      </c>
      <c r="BM51" s="28">
        <v>10</v>
      </c>
      <c r="BN51" t="s">
        <v>755</v>
      </c>
      <c r="BO51" s="28">
        <v>98</v>
      </c>
      <c r="BP51" s="29" t="e">
        <v>#NULL!</v>
      </c>
      <c r="BQ51" s="29" t="e">
        <v>#NULL!</v>
      </c>
      <c r="BR51" s="29" t="e">
        <v>#NULL!</v>
      </c>
      <c r="BS51" s="28">
        <v>8</v>
      </c>
      <c r="BT51" t="s">
        <v>756</v>
      </c>
      <c r="BU51" s="28">
        <v>6</v>
      </c>
      <c r="BV51" s="29" t="e">
        <v>#NULL!</v>
      </c>
      <c r="BW51" s="29" t="e">
        <v>#NULL!</v>
      </c>
      <c r="BX51" s="29" t="e">
        <v>#NULL!</v>
      </c>
      <c r="BZ51" s="29" t="e">
        <v>#NULL!</v>
      </c>
      <c r="CA51" s="29" t="e">
        <v>#NULL!</v>
      </c>
      <c r="CB51" s="29" t="e">
        <v>#NULL!</v>
      </c>
      <c r="CC51" s="28">
        <v>2</v>
      </c>
      <c r="CD51" s="29" t="e">
        <v>#NULL!</v>
      </c>
      <c r="CE51" s="28">
        <v>3</v>
      </c>
      <c r="CF51" s="29" t="e">
        <v>#NULL!</v>
      </c>
      <c r="CG51" s="29" t="e">
        <v>#NULL!</v>
      </c>
      <c r="CI51" s="29" t="e">
        <v>#NULL!</v>
      </c>
      <c r="CJ51" s="29" t="e">
        <v>#NULL!</v>
      </c>
      <c r="CK51" s="29" t="e">
        <v>#NULL!</v>
      </c>
      <c r="CL51" s="29" t="e">
        <v>#NULL!</v>
      </c>
      <c r="CN51" s="29" t="e">
        <v>#NULL!</v>
      </c>
      <c r="CO51" s="29" t="e">
        <v>#NULL!</v>
      </c>
      <c r="CP51" s="29" t="e">
        <v>#NULL!</v>
      </c>
      <c r="CQ51" s="28">
        <v>2</v>
      </c>
      <c r="CR51" s="29" t="e">
        <v>#NULL!</v>
      </c>
      <c r="CS51" s="28">
        <v>7</v>
      </c>
      <c r="CT51" s="28">
        <v>1</v>
      </c>
      <c r="CU51" s="28">
        <v>2</v>
      </c>
      <c r="CV51" s="28">
        <v>1</v>
      </c>
      <c r="CW51" s="28">
        <v>8</v>
      </c>
      <c r="CX51" s="28">
        <v>8</v>
      </c>
      <c r="CY51" s="28">
        <v>1</v>
      </c>
      <c r="CZ51" t="s">
        <v>757</v>
      </c>
      <c r="DA51" s="28">
        <v>5</v>
      </c>
      <c r="DB51" s="29" t="e">
        <v>#NULL!</v>
      </c>
      <c r="DC51" s="28">
        <v>1</v>
      </c>
      <c r="DD51" s="28">
        <v>1</v>
      </c>
      <c r="DE51" s="28">
        <v>1</v>
      </c>
      <c r="DF51" s="28">
        <v>0</v>
      </c>
      <c r="DG51" s="28">
        <v>0</v>
      </c>
      <c r="DH51" s="28">
        <v>0</v>
      </c>
      <c r="DI51" s="28">
        <v>1</v>
      </c>
      <c r="DJ51" s="28">
        <v>0</v>
      </c>
      <c r="DK51" s="28">
        <v>0</v>
      </c>
      <c r="DL51" s="28">
        <v>0</v>
      </c>
      <c r="DN51" s="28">
        <v>3</v>
      </c>
      <c r="DO51" t="s">
        <v>758</v>
      </c>
      <c r="DP51" s="28">
        <v>3</v>
      </c>
      <c r="DQ51" s="29" t="e">
        <v>#NULL!</v>
      </c>
      <c r="DR51" s="29" t="e">
        <v>#NULL!</v>
      </c>
      <c r="DT51" s="29" t="e">
        <v>#NULL!</v>
      </c>
      <c r="DU51" s="29" t="e">
        <v>#NULL!</v>
      </c>
      <c r="DV51" s="29" t="e">
        <v>#NULL!</v>
      </c>
      <c r="DW51" s="28">
        <v>3</v>
      </c>
      <c r="DX51" s="28">
        <v>3</v>
      </c>
      <c r="DZ51" s="29" t="e">
        <v>#NULL!</v>
      </c>
      <c r="EA51" s="29" t="e">
        <v>#NULL!</v>
      </c>
      <c r="EI51" s="29" t="e">
        <v>#NULL!</v>
      </c>
      <c r="EJ51" s="29" t="e">
        <v>#NULL!</v>
      </c>
      <c r="EK51" s="29" t="e">
        <v>#NULL!</v>
      </c>
      <c r="EL51" s="29" t="e">
        <v>#NULL!</v>
      </c>
      <c r="EM51" s="28">
        <v>6</v>
      </c>
      <c r="EN51" s="28">
        <v>7</v>
      </c>
      <c r="EP51" s="28">
        <v>7</v>
      </c>
      <c r="EQ51" s="28">
        <v>1</v>
      </c>
      <c r="ER51" s="28">
        <v>3</v>
      </c>
      <c r="ES51" s="28">
        <v>78746</v>
      </c>
      <c r="ET51" s="28">
        <v>7</v>
      </c>
      <c r="EU51" s="28">
        <v>6</v>
      </c>
      <c r="EV51" s="28">
        <v>8</v>
      </c>
      <c r="EW51" s="28">
        <v>5</v>
      </c>
      <c r="EX51" s="28">
        <v>4</v>
      </c>
      <c r="EY51" t="s">
        <v>759</v>
      </c>
      <c r="EZ51" t="s">
        <v>760</v>
      </c>
      <c r="FB51" t="s">
        <v>761</v>
      </c>
      <c r="FC51" t="s">
        <v>762</v>
      </c>
      <c r="FD51" s="29" t="e">
        <v>#NULL!</v>
      </c>
      <c r="FE51" s="29" t="e">
        <v>#NULL!</v>
      </c>
      <c r="FF51" s="28">
        <v>2</v>
      </c>
      <c r="FH51" t="s">
        <v>763</v>
      </c>
      <c r="FI51" t="s">
        <v>764</v>
      </c>
    </row>
    <row r="52" spans="1:165" x14ac:dyDescent="0.15">
      <c r="A52" s="28">
        <v>316</v>
      </c>
      <c r="B52" s="28">
        <v>1</v>
      </c>
      <c r="C52" s="28">
        <v>2</v>
      </c>
      <c r="D52" s="28">
        <v>1</v>
      </c>
      <c r="E52" s="29" t="e">
        <v>#NULL!</v>
      </c>
      <c r="F52" s="28">
        <v>2</v>
      </c>
      <c r="G52" s="28">
        <v>2</v>
      </c>
      <c r="H52" s="28">
        <v>2</v>
      </c>
      <c r="J52" s="28">
        <v>2</v>
      </c>
      <c r="K52" s="28">
        <v>15</v>
      </c>
      <c r="M52" t="s">
        <v>765</v>
      </c>
      <c r="O52" t="s">
        <v>766</v>
      </c>
      <c r="P52" s="28">
        <v>6</v>
      </c>
      <c r="Q52" s="29" t="e">
        <v>#NULL!</v>
      </c>
      <c r="R52" s="29" t="e">
        <v>#NULL!</v>
      </c>
      <c r="S52" s="29" t="e">
        <v>#NULL!</v>
      </c>
      <c r="T52" s="28">
        <v>5</v>
      </c>
      <c r="U52" s="28">
        <v>5</v>
      </c>
      <c r="V52" s="28">
        <v>5</v>
      </c>
      <c r="W52" s="28">
        <v>5</v>
      </c>
      <c r="Y52" s="29" t="e">
        <v>#NULL!</v>
      </c>
      <c r="Z52" s="29" t="e">
        <v>#NULL!</v>
      </c>
      <c r="AA52" s="29" t="e">
        <v>#NULL!</v>
      </c>
      <c r="AB52" s="29" t="e">
        <v>#NULL!</v>
      </c>
      <c r="AD52" s="29" t="e">
        <v>#NULL!</v>
      </c>
      <c r="AE52" s="29" t="e">
        <v>#NULL!</v>
      </c>
      <c r="AF52" s="29" t="e">
        <v>#NULL!</v>
      </c>
      <c r="AG52" s="29" t="e">
        <v>#NULL!</v>
      </c>
      <c r="AI52" s="29" t="e">
        <v>#NULL!</v>
      </c>
      <c r="AJ52" s="29" t="e">
        <v>#NULL!</v>
      </c>
      <c r="AK52" s="29" t="e">
        <v>#NULL!</v>
      </c>
      <c r="AL52" s="29" t="e">
        <v>#NULL!</v>
      </c>
      <c r="AN52" s="29" t="e">
        <v>#NULL!</v>
      </c>
      <c r="AO52" s="29" t="e">
        <v>#NULL!</v>
      </c>
      <c r="AP52" s="29" t="e">
        <v>#NULL!</v>
      </c>
      <c r="AQ52" s="29" t="e">
        <v>#NULL!</v>
      </c>
      <c r="AS52" s="29" t="e">
        <v>#NULL!</v>
      </c>
      <c r="AT52" s="29" t="e">
        <v>#NULL!</v>
      </c>
      <c r="AU52" s="29" t="e">
        <v>#NULL!</v>
      </c>
      <c r="AV52" s="29" t="e">
        <v>#NULL!</v>
      </c>
      <c r="AX52" s="29" t="e">
        <v>#NULL!</v>
      </c>
      <c r="AY52" s="29" t="e">
        <v>#NULL!</v>
      </c>
      <c r="AZ52" s="29" t="e">
        <v>#NULL!</v>
      </c>
      <c r="BA52" s="29" t="e">
        <v>#NULL!</v>
      </c>
      <c r="BC52" s="29" t="e">
        <v>#NULL!</v>
      </c>
      <c r="BD52" s="29" t="e">
        <v>#NULL!</v>
      </c>
      <c r="BE52" s="29" t="e">
        <v>#NULL!</v>
      </c>
      <c r="BF52" s="29" t="e">
        <v>#NULL!</v>
      </c>
      <c r="BH52" s="29" t="e">
        <v>#NULL!</v>
      </c>
      <c r="BI52" s="29" t="e">
        <v>#NULL!</v>
      </c>
      <c r="BJ52" s="29" t="e">
        <v>#NULL!</v>
      </c>
      <c r="BK52" s="29" t="e">
        <v>#NULL!</v>
      </c>
      <c r="BL52" s="28">
        <v>2</v>
      </c>
      <c r="BM52" s="28">
        <v>4</v>
      </c>
      <c r="BN52" t="s">
        <v>767</v>
      </c>
      <c r="BO52" s="28">
        <v>98</v>
      </c>
      <c r="BP52" s="29" t="e">
        <v>#NULL!</v>
      </c>
      <c r="BQ52" s="29" t="e">
        <v>#NULL!</v>
      </c>
      <c r="BR52" s="29" t="e">
        <v>#NULL!</v>
      </c>
      <c r="BS52" s="28">
        <v>1</v>
      </c>
      <c r="BT52" t="s">
        <v>768</v>
      </c>
      <c r="BU52" s="28">
        <v>98</v>
      </c>
      <c r="BV52" s="29" t="e">
        <v>#NULL!</v>
      </c>
      <c r="BW52" s="29" t="e">
        <v>#NULL!</v>
      </c>
      <c r="BX52" s="29" t="e">
        <v>#NULL!</v>
      </c>
      <c r="BZ52" s="29" t="e">
        <v>#NULL!</v>
      </c>
      <c r="CA52" s="29" t="e">
        <v>#NULL!</v>
      </c>
      <c r="CB52" s="29" t="e">
        <v>#NULL!</v>
      </c>
      <c r="CC52" s="28">
        <v>2</v>
      </c>
      <c r="CD52" s="29" t="e">
        <v>#NULL!</v>
      </c>
      <c r="CE52" s="28">
        <v>2</v>
      </c>
      <c r="CF52" s="29" t="e">
        <v>#NULL!</v>
      </c>
      <c r="CG52" s="29" t="e">
        <v>#NULL!</v>
      </c>
      <c r="CI52" s="29" t="e">
        <v>#NULL!</v>
      </c>
      <c r="CJ52" s="29" t="e">
        <v>#NULL!</v>
      </c>
      <c r="CK52" s="29" t="e">
        <v>#NULL!</v>
      </c>
      <c r="CL52" s="29" t="e">
        <v>#NULL!</v>
      </c>
      <c r="CN52" s="29" t="e">
        <v>#NULL!</v>
      </c>
      <c r="CO52" s="29" t="e">
        <v>#NULL!</v>
      </c>
      <c r="CP52" s="29" t="e">
        <v>#NULL!</v>
      </c>
      <c r="CQ52" s="28">
        <v>2</v>
      </c>
      <c r="CR52" s="29" t="e">
        <v>#NULL!</v>
      </c>
      <c r="CS52" s="28">
        <v>10</v>
      </c>
      <c r="CT52" s="28">
        <v>10</v>
      </c>
      <c r="CU52" s="28">
        <v>10</v>
      </c>
      <c r="CV52" s="28">
        <v>11</v>
      </c>
      <c r="CW52" s="28">
        <v>10</v>
      </c>
      <c r="CX52" s="28">
        <v>8</v>
      </c>
      <c r="CY52" s="28">
        <v>10</v>
      </c>
      <c r="DA52" s="29" t="e">
        <v>#NULL!</v>
      </c>
      <c r="DB52" s="29" t="e">
        <v>#NULL!</v>
      </c>
      <c r="DC52" s="28">
        <v>10</v>
      </c>
      <c r="DD52" s="29" t="e">
        <v>#NULL!</v>
      </c>
      <c r="DE52" s="29" t="e">
        <v>#NULL!</v>
      </c>
      <c r="DF52" s="29" t="e">
        <v>#NULL!</v>
      </c>
      <c r="DG52" s="29" t="e">
        <v>#NULL!</v>
      </c>
      <c r="DH52" s="29" t="e">
        <v>#NULL!</v>
      </c>
      <c r="DI52" s="29" t="e">
        <v>#NULL!</v>
      </c>
      <c r="DJ52" s="29" t="e">
        <v>#NULL!</v>
      </c>
      <c r="DK52" s="29" t="e">
        <v>#NULL!</v>
      </c>
      <c r="DL52" s="29" t="e">
        <v>#NULL!</v>
      </c>
      <c r="DN52" s="28">
        <v>1</v>
      </c>
      <c r="DP52" s="29" t="e">
        <v>#NULL!</v>
      </c>
      <c r="DQ52" s="29" t="e">
        <v>#NULL!</v>
      </c>
      <c r="DR52" s="29" t="e">
        <v>#NULL!</v>
      </c>
      <c r="DT52" s="29" t="e">
        <v>#NULL!</v>
      </c>
      <c r="DU52" s="29" t="e">
        <v>#NULL!</v>
      </c>
      <c r="DV52" s="29" t="e">
        <v>#NULL!</v>
      </c>
      <c r="DW52" s="28">
        <v>3</v>
      </c>
      <c r="DX52" s="28">
        <v>2</v>
      </c>
      <c r="DZ52" s="29" t="e">
        <v>#NULL!</v>
      </c>
      <c r="EA52" s="29" t="e">
        <v>#NULL!</v>
      </c>
      <c r="EI52" s="29" t="e">
        <v>#NULL!</v>
      </c>
      <c r="EJ52" s="29" t="e">
        <v>#NULL!</v>
      </c>
      <c r="EK52" s="29" t="e">
        <v>#NULL!</v>
      </c>
      <c r="EL52" s="29" t="e">
        <v>#NULL!</v>
      </c>
      <c r="EM52" s="28">
        <v>10</v>
      </c>
      <c r="EN52" s="28">
        <v>3</v>
      </c>
      <c r="EP52" s="28">
        <v>5</v>
      </c>
      <c r="EQ52" s="28">
        <v>2</v>
      </c>
      <c r="ER52" s="28">
        <v>2</v>
      </c>
      <c r="ES52" s="28">
        <v>78747</v>
      </c>
      <c r="ET52" s="28">
        <v>4</v>
      </c>
      <c r="EU52" s="28">
        <v>3</v>
      </c>
      <c r="EV52" s="28">
        <v>2</v>
      </c>
      <c r="EW52" s="28">
        <v>5</v>
      </c>
      <c r="EX52" s="28">
        <v>2</v>
      </c>
      <c r="EY52" t="s">
        <v>686</v>
      </c>
      <c r="EZ52" t="s">
        <v>769</v>
      </c>
      <c r="FB52" t="s">
        <v>770</v>
      </c>
      <c r="FC52" t="s">
        <v>771</v>
      </c>
      <c r="FD52" s="29" t="e">
        <v>#NULL!</v>
      </c>
      <c r="FE52" s="29" t="e">
        <v>#NULL!</v>
      </c>
      <c r="FF52" s="28">
        <v>1</v>
      </c>
      <c r="FH52" t="s">
        <v>772</v>
      </c>
      <c r="FI52" t="s">
        <v>773</v>
      </c>
    </row>
    <row r="53" spans="1:165" x14ac:dyDescent="0.15">
      <c r="A53" s="28">
        <v>318</v>
      </c>
      <c r="B53" s="28">
        <v>1</v>
      </c>
      <c r="C53" s="28">
        <v>2</v>
      </c>
      <c r="D53" s="28">
        <v>1</v>
      </c>
      <c r="E53" s="29" t="e">
        <v>#NULL!</v>
      </c>
      <c r="F53" s="28">
        <v>2</v>
      </c>
      <c r="G53" s="28">
        <v>2</v>
      </c>
      <c r="H53" s="28">
        <v>2</v>
      </c>
      <c r="J53" s="28">
        <v>1</v>
      </c>
      <c r="K53" s="28">
        <v>3</v>
      </c>
      <c r="P53" s="29" t="e">
        <v>#NULL!</v>
      </c>
      <c r="Q53" s="29" t="e">
        <v>#NULL!</v>
      </c>
      <c r="R53" s="29" t="e">
        <v>#NULL!</v>
      </c>
      <c r="S53" s="29" t="e">
        <v>#NULL!</v>
      </c>
      <c r="T53" s="28">
        <v>10</v>
      </c>
      <c r="U53" s="28">
        <v>10</v>
      </c>
      <c r="V53" s="28">
        <v>10</v>
      </c>
      <c r="W53" s="28">
        <v>10</v>
      </c>
      <c r="Y53" s="29" t="e">
        <v>#NULL!</v>
      </c>
      <c r="Z53" s="29" t="e">
        <v>#NULL!</v>
      </c>
      <c r="AA53" s="29" t="e">
        <v>#NULL!</v>
      </c>
      <c r="AB53" s="29" t="e">
        <v>#NULL!</v>
      </c>
      <c r="AC53" t="s">
        <v>248</v>
      </c>
      <c r="AD53" s="29" t="e">
        <v>#NULL!</v>
      </c>
      <c r="AE53" s="29" t="e">
        <v>#NULL!</v>
      </c>
      <c r="AF53" s="29" t="e">
        <v>#NULL!</v>
      </c>
      <c r="AG53" s="29" t="e">
        <v>#NULL!</v>
      </c>
      <c r="AI53" s="29" t="e">
        <v>#NULL!</v>
      </c>
      <c r="AJ53" s="29" t="e">
        <v>#NULL!</v>
      </c>
      <c r="AK53" s="29" t="e">
        <v>#NULL!</v>
      </c>
      <c r="AL53" s="29" t="e">
        <v>#NULL!</v>
      </c>
      <c r="AM53" t="s">
        <v>248</v>
      </c>
      <c r="AN53" s="29" t="e">
        <v>#NULL!</v>
      </c>
      <c r="AO53" s="29" t="e">
        <v>#NULL!</v>
      </c>
      <c r="AP53" s="29" t="e">
        <v>#NULL!</v>
      </c>
      <c r="AQ53" s="29" t="e">
        <v>#NULL!</v>
      </c>
      <c r="AS53" s="29" t="e">
        <v>#NULL!</v>
      </c>
      <c r="AT53" s="29" t="e">
        <v>#NULL!</v>
      </c>
      <c r="AU53" s="29" t="e">
        <v>#NULL!</v>
      </c>
      <c r="AV53" s="29" t="e">
        <v>#NULL!</v>
      </c>
      <c r="AW53" t="s">
        <v>248</v>
      </c>
      <c r="AX53" s="29" t="e">
        <v>#NULL!</v>
      </c>
      <c r="AY53" s="29" t="e">
        <v>#NULL!</v>
      </c>
      <c r="AZ53" s="29" t="e">
        <v>#NULL!</v>
      </c>
      <c r="BA53" s="29" t="e">
        <v>#NULL!</v>
      </c>
      <c r="BC53" s="29" t="e">
        <v>#NULL!</v>
      </c>
      <c r="BD53" s="29" t="e">
        <v>#NULL!</v>
      </c>
      <c r="BE53" s="29" t="e">
        <v>#NULL!</v>
      </c>
      <c r="BF53" s="29" t="e">
        <v>#NULL!</v>
      </c>
      <c r="BG53" t="s">
        <v>248</v>
      </c>
      <c r="BH53" s="29" t="e">
        <v>#NULL!</v>
      </c>
      <c r="BI53" s="29" t="e">
        <v>#NULL!</v>
      </c>
      <c r="BJ53" s="29" t="e">
        <v>#NULL!</v>
      </c>
      <c r="BK53" s="29" t="e">
        <v>#NULL!</v>
      </c>
      <c r="BL53" s="28">
        <v>1</v>
      </c>
      <c r="BM53" s="29" t="e">
        <v>#NULL!</v>
      </c>
      <c r="BO53" s="29" t="e">
        <v>#NULL!</v>
      </c>
      <c r="BP53" s="29" t="e">
        <v>#NULL!</v>
      </c>
      <c r="BQ53" s="29" t="e">
        <v>#NULL!</v>
      </c>
      <c r="BR53" s="29" t="e">
        <v>#NULL!</v>
      </c>
      <c r="BS53" s="29" t="e">
        <v>#NULL!</v>
      </c>
      <c r="BU53" s="29" t="e">
        <v>#NULL!</v>
      </c>
      <c r="BV53" s="29" t="e">
        <v>#NULL!</v>
      </c>
      <c r="BW53" s="29" t="e">
        <v>#NULL!</v>
      </c>
      <c r="BX53" s="29" t="e">
        <v>#NULL!</v>
      </c>
      <c r="BZ53" s="29" t="e">
        <v>#NULL!</v>
      </c>
      <c r="CA53" s="29" t="e">
        <v>#NULL!</v>
      </c>
      <c r="CB53" s="29" t="e">
        <v>#NULL!</v>
      </c>
      <c r="CC53" s="28">
        <v>2</v>
      </c>
      <c r="CD53" s="29" t="e">
        <v>#NULL!</v>
      </c>
      <c r="CE53" s="28">
        <v>2</v>
      </c>
      <c r="CF53" s="29" t="e">
        <v>#NULL!</v>
      </c>
      <c r="CG53" s="29" t="e">
        <v>#NULL!</v>
      </c>
      <c r="CI53" s="29" t="e">
        <v>#NULL!</v>
      </c>
      <c r="CJ53" s="29" t="e">
        <v>#NULL!</v>
      </c>
      <c r="CK53" s="29" t="e">
        <v>#NULL!</v>
      </c>
      <c r="CL53" s="29" t="e">
        <v>#NULL!</v>
      </c>
      <c r="CN53" s="29" t="e">
        <v>#NULL!</v>
      </c>
      <c r="CO53" s="29" t="e">
        <v>#NULL!</v>
      </c>
      <c r="CP53" s="29" t="e">
        <v>#NULL!</v>
      </c>
      <c r="CQ53" s="28">
        <v>2</v>
      </c>
      <c r="CR53" s="29" t="e">
        <v>#NULL!</v>
      </c>
      <c r="CS53" s="28">
        <v>10</v>
      </c>
      <c r="CT53" s="28">
        <v>10</v>
      </c>
      <c r="CU53" s="28">
        <v>10</v>
      </c>
      <c r="CV53" s="28">
        <v>10</v>
      </c>
      <c r="CW53" s="28">
        <v>10</v>
      </c>
      <c r="CX53" s="28">
        <v>10</v>
      </c>
      <c r="CY53" s="28">
        <v>10</v>
      </c>
      <c r="DA53" s="29" t="e">
        <v>#NULL!</v>
      </c>
      <c r="DB53" s="29" t="e">
        <v>#NULL!</v>
      </c>
      <c r="DC53" s="28">
        <v>10</v>
      </c>
      <c r="DD53" s="29" t="e">
        <v>#NULL!</v>
      </c>
      <c r="DE53" s="29" t="e">
        <v>#NULL!</v>
      </c>
      <c r="DF53" s="29" t="e">
        <v>#NULL!</v>
      </c>
      <c r="DG53" s="29" t="e">
        <v>#NULL!</v>
      </c>
      <c r="DH53" s="29" t="e">
        <v>#NULL!</v>
      </c>
      <c r="DI53" s="29" t="e">
        <v>#NULL!</v>
      </c>
      <c r="DJ53" s="29" t="e">
        <v>#NULL!</v>
      </c>
      <c r="DK53" s="29" t="e">
        <v>#NULL!</v>
      </c>
      <c r="DL53" s="29" t="e">
        <v>#NULL!</v>
      </c>
      <c r="DN53" s="28">
        <v>1</v>
      </c>
      <c r="DP53" s="29" t="e">
        <v>#NULL!</v>
      </c>
      <c r="DQ53" s="29" t="e">
        <v>#NULL!</v>
      </c>
      <c r="DR53" s="29" t="e">
        <v>#NULL!</v>
      </c>
      <c r="DT53" s="29" t="e">
        <v>#NULL!</v>
      </c>
      <c r="DU53" s="29" t="e">
        <v>#NULL!</v>
      </c>
      <c r="DV53" s="29" t="e">
        <v>#NULL!</v>
      </c>
      <c r="DW53" s="28">
        <v>2</v>
      </c>
      <c r="DX53" s="28">
        <v>2</v>
      </c>
      <c r="DZ53" s="29" t="e">
        <v>#NULL!</v>
      </c>
      <c r="EA53" s="29" t="e">
        <v>#NULL!</v>
      </c>
      <c r="EI53" s="29" t="e">
        <v>#NULL!</v>
      </c>
      <c r="EJ53" s="29" t="e">
        <v>#NULL!</v>
      </c>
      <c r="EK53" s="29" t="e">
        <v>#NULL!</v>
      </c>
      <c r="EL53" s="29" t="e">
        <v>#NULL!</v>
      </c>
      <c r="EM53" s="28">
        <v>10</v>
      </c>
      <c r="EN53" s="28">
        <v>1</v>
      </c>
      <c r="EP53" s="28">
        <v>2</v>
      </c>
      <c r="EQ53" s="28">
        <v>3</v>
      </c>
      <c r="ER53" s="28">
        <v>2</v>
      </c>
      <c r="ES53" s="28">
        <v>78704</v>
      </c>
      <c r="ET53" s="28">
        <v>1</v>
      </c>
      <c r="EU53" s="28">
        <v>4</v>
      </c>
      <c r="EV53" s="28">
        <v>4</v>
      </c>
      <c r="EW53" s="28">
        <v>5</v>
      </c>
      <c r="EX53" s="28">
        <v>2</v>
      </c>
      <c r="EY53" t="s">
        <v>774</v>
      </c>
      <c r="EZ53" t="s">
        <v>775</v>
      </c>
      <c r="FB53" t="s">
        <v>776</v>
      </c>
      <c r="FC53" t="s">
        <v>777</v>
      </c>
      <c r="FD53" s="29" t="e">
        <v>#NULL!</v>
      </c>
      <c r="FE53" s="29" t="e">
        <v>#NULL!</v>
      </c>
      <c r="FF53" s="28">
        <v>1</v>
      </c>
      <c r="FH53" t="s">
        <v>778</v>
      </c>
      <c r="FI53" t="s">
        <v>779</v>
      </c>
    </row>
    <row r="54" spans="1:165" x14ac:dyDescent="0.15">
      <c r="A54" s="28">
        <v>335</v>
      </c>
      <c r="B54" s="28">
        <v>1</v>
      </c>
      <c r="C54" s="28">
        <v>2</v>
      </c>
      <c r="D54" s="28">
        <v>1</v>
      </c>
      <c r="E54" s="29" t="e">
        <v>#NULL!</v>
      </c>
      <c r="F54" s="28">
        <v>2</v>
      </c>
      <c r="G54" s="28">
        <v>2</v>
      </c>
      <c r="H54" s="28">
        <v>2</v>
      </c>
      <c r="J54" s="28">
        <v>2</v>
      </c>
      <c r="K54" s="28">
        <v>15</v>
      </c>
      <c r="M54" t="s">
        <v>780</v>
      </c>
      <c r="O54" t="s">
        <v>781</v>
      </c>
      <c r="P54" s="28">
        <v>6</v>
      </c>
      <c r="Q54" s="29" t="e">
        <v>#NULL!</v>
      </c>
      <c r="R54" s="29" t="e">
        <v>#NULL!</v>
      </c>
      <c r="S54" s="29" t="e">
        <v>#NULL!</v>
      </c>
      <c r="T54" s="28">
        <v>10</v>
      </c>
      <c r="U54" s="28">
        <v>10</v>
      </c>
      <c r="V54" s="28">
        <v>10</v>
      </c>
      <c r="W54" s="28">
        <v>10</v>
      </c>
      <c r="Y54" s="29" t="e">
        <v>#NULL!</v>
      </c>
      <c r="Z54" s="29" t="e">
        <v>#NULL!</v>
      </c>
      <c r="AA54" s="29" t="e">
        <v>#NULL!</v>
      </c>
      <c r="AB54" s="29" t="e">
        <v>#NULL!</v>
      </c>
      <c r="AC54" t="s">
        <v>782</v>
      </c>
      <c r="AD54" s="28">
        <v>30</v>
      </c>
      <c r="AE54" s="29" t="e">
        <v>#NULL!</v>
      </c>
      <c r="AF54" s="29" t="e">
        <v>#NULL!</v>
      </c>
      <c r="AG54" s="29" t="e">
        <v>#NULL!</v>
      </c>
      <c r="AI54" s="29" t="e">
        <v>#NULL!</v>
      </c>
      <c r="AJ54" s="29" t="e">
        <v>#NULL!</v>
      </c>
      <c r="AK54" s="29" t="e">
        <v>#NULL!</v>
      </c>
      <c r="AL54" s="29" t="e">
        <v>#NULL!</v>
      </c>
      <c r="AM54" t="s">
        <v>782</v>
      </c>
      <c r="AN54" s="28">
        <v>30</v>
      </c>
      <c r="AO54" s="29" t="e">
        <v>#NULL!</v>
      </c>
      <c r="AP54" s="29" t="e">
        <v>#NULL!</v>
      </c>
      <c r="AQ54" s="29" t="e">
        <v>#NULL!</v>
      </c>
      <c r="AS54" s="29" t="e">
        <v>#NULL!</v>
      </c>
      <c r="AT54" s="29" t="e">
        <v>#NULL!</v>
      </c>
      <c r="AU54" s="29" t="e">
        <v>#NULL!</v>
      </c>
      <c r="AV54" s="29" t="e">
        <v>#NULL!</v>
      </c>
      <c r="AW54" t="s">
        <v>782</v>
      </c>
      <c r="AX54" s="28">
        <v>30</v>
      </c>
      <c r="AY54" s="29" t="e">
        <v>#NULL!</v>
      </c>
      <c r="AZ54" s="29" t="e">
        <v>#NULL!</v>
      </c>
      <c r="BA54" s="29" t="e">
        <v>#NULL!</v>
      </c>
      <c r="BC54" s="29" t="e">
        <v>#NULL!</v>
      </c>
      <c r="BD54" s="29" t="e">
        <v>#NULL!</v>
      </c>
      <c r="BE54" s="29" t="e">
        <v>#NULL!</v>
      </c>
      <c r="BF54" s="29" t="e">
        <v>#NULL!</v>
      </c>
      <c r="BG54" t="s">
        <v>782</v>
      </c>
      <c r="BH54" s="28">
        <v>30</v>
      </c>
      <c r="BI54" s="29" t="e">
        <v>#NULL!</v>
      </c>
      <c r="BJ54" s="29" t="e">
        <v>#NULL!</v>
      </c>
      <c r="BK54" s="29" t="e">
        <v>#NULL!</v>
      </c>
      <c r="BL54" s="28">
        <v>1</v>
      </c>
      <c r="BM54" s="29" t="e">
        <v>#NULL!</v>
      </c>
      <c r="BO54" s="29" t="e">
        <v>#NULL!</v>
      </c>
      <c r="BP54" s="29" t="e">
        <v>#NULL!</v>
      </c>
      <c r="BQ54" s="29" t="e">
        <v>#NULL!</v>
      </c>
      <c r="BR54" s="29" t="e">
        <v>#NULL!</v>
      </c>
      <c r="BS54" s="29" t="e">
        <v>#NULL!</v>
      </c>
      <c r="BU54" s="29" t="e">
        <v>#NULL!</v>
      </c>
      <c r="BV54" s="29" t="e">
        <v>#NULL!</v>
      </c>
      <c r="BW54" s="29" t="e">
        <v>#NULL!</v>
      </c>
      <c r="BX54" s="29" t="e">
        <v>#NULL!</v>
      </c>
      <c r="BZ54" s="29" t="e">
        <v>#NULL!</v>
      </c>
      <c r="CA54" s="29" t="e">
        <v>#NULL!</v>
      </c>
      <c r="CB54" s="29" t="e">
        <v>#NULL!</v>
      </c>
      <c r="CC54" s="28">
        <v>2</v>
      </c>
      <c r="CD54" s="29" t="e">
        <v>#NULL!</v>
      </c>
      <c r="CE54" s="28">
        <v>1</v>
      </c>
      <c r="CF54" s="28">
        <v>2</v>
      </c>
      <c r="CG54" s="29" t="e">
        <v>#NULL!</v>
      </c>
      <c r="CI54" s="29" t="e">
        <v>#NULL!</v>
      </c>
      <c r="CJ54" s="29" t="e">
        <v>#NULL!</v>
      </c>
      <c r="CK54" s="29" t="e">
        <v>#NULL!</v>
      </c>
      <c r="CL54" s="29" t="e">
        <v>#NULL!</v>
      </c>
      <c r="CN54" s="29" t="e">
        <v>#NULL!</v>
      </c>
      <c r="CO54" s="29" t="e">
        <v>#NULL!</v>
      </c>
      <c r="CP54" s="29" t="e">
        <v>#NULL!</v>
      </c>
      <c r="CQ54" s="28">
        <v>2</v>
      </c>
      <c r="CR54" s="29" t="e">
        <v>#NULL!</v>
      </c>
      <c r="CS54" s="28">
        <v>10</v>
      </c>
      <c r="CT54" s="28">
        <v>1</v>
      </c>
      <c r="CU54" s="28">
        <v>10</v>
      </c>
      <c r="CV54" s="28">
        <v>1</v>
      </c>
      <c r="CW54" s="28">
        <v>1</v>
      </c>
      <c r="CX54" s="28">
        <v>10</v>
      </c>
      <c r="CY54" s="28">
        <v>3</v>
      </c>
      <c r="CZ54" t="s">
        <v>783</v>
      </c>
      <c r="DA54" s="28">
        <v>5</v>
      </c>
      <c r="DB54" s="29" t="e">
        <v>#NULL!</v>
      </c>
      <c r="DC54" s="28">
        <v>1</v>
      </c>
      <c r="DD54" s="28">
        <v>0</v>
      </c>
      <c r="DE54" s="28">
        <v>1</v>
      </c>
      <c r="DF54" s="28">
        <v>0</v>
      </c>
      <c r="DG54" s="28">
        <v>0</v>
      </c>
      <c r="DH54" s="28">
        <v>0</v>
      </c>
      <c r="DI54" s="28">
        <v>0</v>
      </c>
      <c r="DJ54" s="28">
        <v>0</v>
      </c>
      <c r="DK54" s="28">
        <v>0</v>
      </c>
      <c r="DL54" s="28">
        <v>1</v>
      </c>
      <c r="DM54" t="s">
        <v>784</v>
      </c>
      <c r="DN54" s="28">
        <v>2</v>
      </c>
      <c r="DO54" t="s">
        <v>785</v>
      </c>
      <c r="DP54" s="28">
        <v>6</v>
      </c>
      <c r="DQ54" s="29" t="e">
        <v>#NULL!</v>
      </c>
      <c r="DR54" s="29" t="e">
        <v>#NULL!</v>
      </c>
      <c r="DT54" s="29" t="e">
        <v>#NULL!</v>
      </c>
      <c r="DU54" s="29" t="e">
        <v>#NULL!</v>
      </c>
      <c r="DV54" s="29" t="e">
        <v>#NULL!</v>
      </c>
      <c r="DW54" s="28">
        <v>3</v>
      </c>
      <c r="DX54" s="28">
        <v>2</v>
      </c>
      <c r="DZ54" s="29" t="e">
        <v>#NULL!</v>
      </c>
      <c r="EA54" s="29" t="e">
        <v>#NULL!</v>
      </c>
      <c r="EI54" s="29" t="e">
        <v>#NULL!</v>
      </c>
      <c r="EJ54" s="29" t="e">
        <v>#NULL!</v>
      </c>
      <c r="EK54" s="29" t="e">
        <v>#NULL!</v>
      </c>
      <c r="EL54" s="29" t="e">
        <v>#NULL!</v>
      </c>
      <c r="EM54" s="28">
        <v>8</v>
      </c>
      <c r="EN54" s="28">
        <v>6</v>
      </c>
      <c r="EO54" t="s">
        <v>786</v>
      </c>
      <c r="EP54" s="28">
        <v>7</v>
      </c>
      <c r="EQ54" s="28">
        <v>2</v>
      </c>
      <c r="ER54" s="28">
        <v>3</v>
      </c>
      <c r="ES54" s="28">
        <v>78766</v>
      </c>
      <c r="ET54" s="28">
        <v>7</v>
      </c>
      <c r="EU54" s="28">
        <v>6</v>
      </c>
      <c r="EV54" s="28">
        <v>8</v>
      </c>
      <c r="EW54" s="28">
        <v>6</v>
      </c>
      <c r="EX54" s="28">
        <v>2</v>
      </c>
      <c r="EY54" t="s">
        <v>787</v>
      </c>
      <c r="EZ54" t="s">
        <v>788</v>
      </c>
      <c r="FB54" t="s">
        <v>789</v>
      </c>
      <c r="FC54" t="s">
        <v>790</v>
      </c>
      <c r="FD54" s="29" t="e">
        <v>#NULL!</v>
      </c>
      <c r="FE54" s="29" t="e">
        <v>#NULL!</v>
      </c>
      <c r="FF54" s="28">
        <v>2</v>
      </c>
      <c r="FH54" t="s">
        <v>791</v>
      </c>
      <c r="FI54" t="s">
        <v>792</v>
      </c>
    </row>
    <row r="55" spans="1:165" x14ac:dyDescent="0.15">
      <c r="A55" s="28">
        <v>349</v>
      </c>
      <c r="B55" s="28">
        <v>1</v>
      </c>
      <c r="C55" s="28">
        <v>2</v>
      </c>
      <c r="D55" s="28">
        <v>1</v>
      </c>
      <c r="E55" s="29" t="e">
        <v>#NULL!</v>
      </c>
      <c r="F55" s="28">
        <v>2</v>
      </c>
      <c r="G55" s="28">
        <v>2</v>
      </c>
      <c r="H55" s="28">
        <v>3</v>
      </c>
      <c r="J55" s="28">
        <v>1</v>
      </c>
      <c r="K55" s="28">
        <v>21</v>
      </c>
      <c r="P55" s="29" t="e">
        <v>#NULL!</v>
      </c>
      <c r="Q55" s="29" t="e">
        <v>#NULL!</v>
      </c>
      <c r="R55" s="29" t="e">
        <v>#NULL!</v>
      </c>
      <c r="S55" s="29" t="e">
        <v>#NULL!</v>
      </c>
      <c r="T55" s="28">
        <v>10</v>
      </c>
      <c r="U55" s="28">
        <v>10</v>
      </c>
      <c r="V55" s="28">
        <v>10</v>
      </c>
      <c r="W55" s="28">
        <v>10</v>
      </c>
      <c r="Y55" s="29" t="e">
        <v>#NULL!</v>
      </c>
      <c r="Z55" s="29" t="e">
        <v>#NULL!</v>
      </c>
      <c r="AA55" s="29" t="e">
        <v>#NULL!</v>
      </c>
      <c r="AB55" s="29" t="e">
        <v>#NULL!</v>
      </c>
      <c r="AC55" t="s">
        <v>248</v>
      </c>
      <c r="AD55" s="29" t="e">
        <v>#NULL!</v>
      </c>
      <c r="AE55" s="29" t="e">
        <v>#NULL!</v>
      </c>
      <c r="AF55" s="29" t="e">
        <v>#NULL!</v>
      </c>
      <c r="AG55" s="29" t="e">
        <v>#NULL!</v>
      </c>
      <c r="AI55" s="29" t="e">
        <v>#NULL!</v>
      </c>
      <c r="AJ55" s="29" t="e">
        <v>#NULL!</v>
      </c>
      <c r="AK55" s="29" t="e">
        <v>#NULL!</v>
      </c>
      <c r="AL55" s="29" t="e">
        <v>#NULL!</v>
      </c>
      <c r="AM55" t="s">
        <v>248</v>
      </c>
      <c r="AN55" s="29" t="e">
        <v>#NULL!</v>
      </c>
      <c r="AO55" s="29" t="e">
        <v>#NULL!</v>
      </c>
      <c r="AP55" s="29" t="e">
        <v>#NULL!</v>
      </c>
      <c r="AQ55" s="29" t="e">
        <v>#NULL!</v>
      </c>
      <c r="AS55" s="29" t="e">
        <v>#NULL!</v>
      </c>
      <c r="AT55" s="29" t="e">
        <v>#NULL!</v>
      </c>
      <c r="AU55" s="29" t="e">
        <v>#NULL!</v>
      </c>
      <c r="AV55" s="29" t="e">
        <v>#NULL!</v>
      </c>
      <c r="AW55" t="s">
        <v>248</v>
      </c>
      <c r="AX55" s="29" t="e">
        <v>#NULL!</v>
      </c>
      <c r="AY55" s="29" t="e">
        <v>#NULL!</v>
      </c>
      <c r="AZ55" s="29" t="e">
        <v>#NULL!</v>
      </c>
      <c r="BA55" s="29" t="e">
        <v>#NULL!</v>
      </c>
      <c r="BC55" s="29" t="e">
        <v>#NULL!</v>
      </c>
      <c r="BD55" s="29" t="e">
        <v>#NULL!</v>
      </c>
      <c r="BE55" s="29" t="e">
        <v>#NULL!</v>
      </c>
      <c r="BF55" s="29" t="e">
        <v>#NULL!</v>
      </c>
      <c r="BG55" t="s">
        <v>248</v>
      </c>
      <c r="BH55" s="29" t="e">
        <v>#NULL!</v>
      </c>
      <c r="BI55" s="29" t="e">
        <v>#NULL!</v>
      </c>
      <c r="BJ55" s="29" t="e">
        <v>#NULL!</v>
      </c>
      <c r="BK55" s="29" t="e">
        <v>#NULL!</v>
      </c>
      <c r="BL55" s="28">
        <v>1</v>
      </c>
      <c r="BM55" s="29" t="e">
        <v>#NULL!</v>
      </c>
      <c r="BO55" s="29" t="e">
        <v>#NULL!</v>
      </c>
      <c r="BP55" s="29" t="e">
        <v>#NULL!</v>
      </c>
      <c r="BQ55" s="29" t="e">
        <v>#NULL!</v>
      </c>
      <c r="BR55" s="29" t="e">
        <v>#NULL!</v>
      </c>
      <c r="BS55" s="29" t="e">
        <v>#NULL!</v>
      </c>
      <c r="BU55" s="29" t="e">
        <v>#NULL!</v>
      </c>
      <c r="BV55" s="29" t="e">
        <v>#NULL!</v>
      </c>
      <c r="BW55" s="29" t="e">
        <v>#NULL!</v>
      </c>
      <c r="BX55" s="29" t="e">
        <v>#NULL!</v>
      </c>
      <c r="BZ55" s="29" t="e">
        <v>#NULL!</v>
      </c>
      <c r="CA55" s="29" t="e">
        <v>#NULL!</v>
      </c>
      <c r="CB55" s="29" t="e">
        <v>#NULL!</v>
      </c>
      <c r="CC55" s="28">
        <v>2</v>
      </c>
      <c r="CD55" s="29" t="e">
        <v>#NULL!</v>
      </c>
      <c r="CE55" s="28">
        <v>2</v>
      </c>
      <c r="CF55" s="29" t="e">
        <v>#NULL!</v>
      </c>
      <c r="CG55" s="29" t="e">
        <v>#NULL!</v>
      </c>
      <c r="CI55" s="29" t="e">
        <v>#NULL!</v>
      </c>
      <c r="CJ55" s="29" t="e">
        <v>#NULL!</v>
      </c>
      <c r="CK55" s="29" t="e">
        <v>#NULL!</v>
      </c>
      <c r="CL55" s="29" t="e">
        <v>#NULL!</v>
      </c>
      <c r="CN55" s="29" t="e">
        <v>#NULL!</v>
      </c>
      <c r="CO55" s="29" t="e">
        <v>#NULL!</v>
      </c>
      <c r="CP55" s="29" t="e">
        <v>#NULL!</v>
      </c>
      <c r="CQ55" s="28">
        <v>2</v>
      </c>
      <c r="CR55" s="29" t="e">
        <v>#NULL!</v>
      </c>
      <c r="CS55" s="28">
        <v>10</v>
      </c>
      <c r="CT55" s="28">
        <v>10</v>
      </c>
      <c r="CU55" s="28">
        <v>10</v>
      </c>
      <c r="CV55" s="28">
        <v>10</v>
      </c>
      <c r="CW55" s="28">
        <v>10</v>
      </c>
      <c r="CX55" s="28">
        <v>10</v>
      </c>
      <c r="CY55" s="28">
        <v>10</v>
      </c>
      <c r="DA55" s="29" t="e">
        <v>#NULL!</v>
      </c>
      <c r="DB55" s="29" t="e">
        <v>#NULL!</v>
      </c>
      <c r="DC55" s="28">
        <v>10</v>
      </c>
      <c r="DD55" s="29" t="e">
        <v>#NULL!</v>
      </c>
      <c r="DE55" s="29" t="e">
        <v>#NULL!</v>
      </c>
      <c r="DF55" s="29" t="e">
        <v>#NULL!</v>
      </c>
      <c r="DG55" s="29" t="e">
        <v>#NULL!</v>
      </c>
      <c r="DH55" s="29" t="e">
        <v>#NULL!</v>
      </c>
      <c r="DI55" s="29" t="e">
        <v>#NULL!</v>
      </c>
      <c r="DJ55" s="29" t="e">
        <v>#NULL!</v>
      </c>
      <c r="DK55" s="29" t="e">
        <v>#NULL!</v>
      </c>
      <c r="DL55" s="29" t="e">
        <v>#NULL!</v>
      </c>
      <c r="DN55" s="28">
        <v>1</v>
      </c>
      <c r="DP55" s="29" t="e">
        <v>#NULL!</v>
      </c>
      <c r="DQ55" s="29" t="e">
        <v>#NULL!</v>
      </c>
      <c r="DR55" s="29" t="e">
        <v>#NULL!</v>
      </c>
      <c r="DT55" s="29" t="e">
        <v>#NULL!</v>
      </c>
      <c r="DU55" s="29" t="e">
        <v>#NULL!</v>
      </c>
      <c r="DV55" s="29" t="e">
        <v>#NULL!</v>
      </c>
      <c r="DW55" s="28">
        <v>3</v>
      </c>
      <c r="DX55" s="28">
        <v>1</v>
      </c>
      <c r="DY55" t="s">
        <v>793</v>
      </c>
      <c r="DZ55" s="28">
        <v>17</v>
      </c>
      <c r="EA55" s="29" t="e">
        <v>#NULL!</v>
      </c>
      <c r="EI55" s="29" t="e">
        <v>#NULL!</v>
      </c>
      <c r="EJ55" s="29" t="e">
        <v>#NULL!</v>
      </c>
      <c r="EK55" s="29" t="e">
        <v>#NULL!</v>
      </c>
      <c r="EL55" s="29" t="e">
        <v>#NULL!</v>
      </c>
      <c r="EM55" s="28">
        <v>10</v>
      </c>
      <c r="EN55" s="28">
        <v>1</v>
      </c>
      <c r="EP55" s="28">
        <v>5</v>
      </c>
      <c r="EQ55" s="28">
        <v>3</v>
      </c>
      <c r="ER55" s="28">
        <v>2</v>
      </c>
      <c r="ES55" s="28">
        <v>78727</v>
      </c>
      <c r="ET55" s="28">
        <v>1</v>
      </c>
      <c r="EU55" s="28">
        <v>3</v>
      </c>
      <c r="EV55" s="28">
        <v>2</v>
      </c>
      <c r="EW55" s="28">
        <v>5</v>
      </c>
      <c r="EX55" s="28">
        <v>1</v>
      </c>
      <c r="EY55" t="s">
        <v>794</v>
      </c>
      <c r="EZ55" t="s">
        <v>795</v>
      </c>
      <c r="FB55" t="s">
        <v>796</v>
      </c>
      <c r="FC55" t="s">
        <v>797</v>
      </c>
      <c r="FD55" s="29" t="e">
        <v>#NULL!</v>
      </c>
      <c r="FE55" s="29" t="e">
        <v>#NULL!</v>
      </c>
      <c r="FF55" s="28">
        <v>2</v>
      </c>
      <c r="FH55" t="s">
        <v>798</v>
      </c>
      <c r="FI55" t="s">
        <v>799</v>
      </c>
    </row>
    <row r="56" spans="1:165" x14ac:dyDescent="0.15">
      <c r="A56" s="28">
        <v>355</v>
      </c>
      <c r="B56" s="28">
        <v>1</v>
      </c>
      <c r="C56" s="28">
        <v>2</v>
      </c>
      <c r="D56" s="28">
        <v>1</v>
      </c>
      <c r="E56" s="29" t="e">
        <v>#NULL!</v>
      </c>
      <c r="F56" s="28">
        <v>2</v>
      </c>
      <c r="G56" s="28">
        <v>2</v>
      </c>
      <c r="H56" s="28">
        <v>2</v>
      </c>
      <c r="J56" s="28">
        <v>1</v>
      </c>
      <c r="K56" s="28">
        <v>10</v>
      </c>
      <c r="P56" s="29" t="e">
        <v>#NULL!</v>
      </c>
      <c r="Q56" s="29" t="e">
        <v>#NULL!</v>
      </c>
      <c r="R56" s="29" t="e">
        <v>#NULL!</v>
      </c>
      <c r="S56" s="29" t="e">
        <v>#NULL!</v>
      </c>
      <c r="T56" s="28">
        <v>10</v>
      </c>
      <c r="U56" s="28">
        <v>10</v>
      </c>
      <c r="V56" s="28">
        <v>10</v>
      </c>
      <c r="W56" s="28">
        <v>10</v>
      </c>
      <c r="Y56" s="29" t="e">
        <v>#NULL!</v>
      </c>
      <c r="Z56" s="29" t="e">
        <v>#NULL!</v>
      </c>
      <c r="AA56" s="29" t="e">
        <v>#NULL!</v>
      </c>
      <c r="AB56" s="29" t="e">
        <v>#NULL!</v>
      </c>
      <c r="AC56" t="s">
        <v>800</v>
      </c>
      <c r="AD56" s="28">
        <v>20</v>
      </c>
      <c r="AE56" s="29" t="e">
        <v>#NULL!</v>
      </c>
      <c r="AF56" s="29" t="e">
        <v>#NULL!</v>
      </c>
      <c r="AG56" s="29" t="e">
        <v>#NULL!</v>
      </c>
      <c r="AI56" s="29" t="e">
        <v>#NULL!</v>
      </c>
      <c r="AJ56" s="29" t="e">
        <v>#NULL!</v>
      </c>
      <c r="AK56" s="29" t="e">
        <v>#NULL!</v>
      </c>
      <c r="AL56" s="29" t="e">
        <v>#NULL!</v>
      </c>
      <c r="AM56" t="s">
        <v>801</v>
      </c>
      <c r="AN56" s="28">
        <v>25</v>
      </c>
      <c r="AO56" s="29" t="e">
        <v>#NULL!</v>
      </c>
      <c r="AP56" s="29" t="e">
        <v>#NULL!</v>
      </c>
      <c r="AQ56" s="29" t="e">
        <v>#NULL!</v>
      </c>
      <c r="AS56" s="29" t="e">
        <v>#NULL!</v>
      </c>
      <c r="AT56" s="29" t="e">
        <v>#NULL!</v>
      </c>
      <c r="AU56" s="29" t="e">
        <v>#NULL!</v>
      </c>
      <c r="AV56" s="29" t="e">
        <v>#NULL!</v>
      </c>
      <c r="AW56" t="s">
        <v>802</v>
      </c>
      <c r="AX56" s="28">
        <v>27</v>
      </c>
      <c r="AY56" s="29" t="e">
        <v>#NULL!</v>
      </c>
      <c r="AZ56" s="29" t="e">
        <v>#NULL!</v>
      </c>
      <c r="BA56" s="29" t="e">
        <v>#NULL!</v>
      </c>
      <c r="BC56" s="29" t="e">
        <v>#NULL!</v>
      </c>
      <c r="BD56" s="29" t="e">
        <v>#NULL!</v>
      </c>
      <c r="BE56" s="29" t="e">
        <v>#NULL!</v>
      </c>
      <c r="BF56" s="29" t="e">
        <v>#NULL!</v>
      </c>
      <c r="BG56" t="s">
        <v>803</v>
      </c>
      <c r="BH56" s="28">
        <v>21</v>
      </c>
      <c r="BI56" s="29" t="e">
        <v>#NULL!</v>
      </c>
      <c r="BJ56" s="29" t="e">
        <v>#NULL!</v>
      </c>
      <c r="BK56" s="29" t="e">
        <v>#NULL!</v>
      </c>
      <c r="BL56" s="28">
        <v>2</v>
      </c>
      <c r="BM56" s="28">
        <v>3</v>
      </c>
      <c r="BN56" t="s">
        <v>566</v>
      </c>
      <c r="BO56" s="28">
        <v>6</v>
      </c>
      <c r="BP56" s="29" t="e">
        <v>#NULL!</v>
      </c>
      <c r="BQ56" s="29" t="e">
        <v>#NULL!</v>
      </c>
      <c r="BR56" s="29" t="e">
        <v>#NULL!</v>
      </c>
      <c r="BS56" s="28">
        <v>10</v>
      </c>
      <c r="BT56" t="s">
        <v>359</v>
      </c>
      <c r="BU56" s="28">
        <v>97</v>
      </c>
      <c r="BV56" s="29" t="e">
        <v>#NULL!</v>
      </c>
      <c r="BW56" s="29" t="e">
        <v>#NULL!</v>
      </c>
      <c r="BX56" s="29" t="e">
        <v>#NULL!</v>
      </c>
      <c r="BZ56" s="29" t="e">
        <v>#NULL!</v>
      </c>
      <c r="CA56" s="29" t="e">
        <v>#NULL!</v>
      </c>
      <c r="CB56" s="29" t="e">
        <v>#NULL!</v>
      </c>
      <c r="CC56" s="28">
        <v>2</v>
      </c>
      <c r="CD56" s="29" t="e">
        <v>#NULL!</v>
      </c>
      <c r="CE56" s="28">
        <v>2</v>
      </c>
      <c r="CF56" s="29" t="e">
        <v>#NULL!</v>
      </c>
      <c r="CG56" s="29" t="e">
        <v>#NULL!</v>
      </c>
      <c r="CI56" s="29" t="e">
        <v>#NULL!</v>
      </c>
      <c r="CJ56" s="29" t="e">
        <v>#NULL!</v>
      </c>
      <c r="CK56" s="29" t="e">
        <v>#NULL!</v>
      </c>
      <c r="CL56" s="29" t="e">
        <v>#NULL!</v>
      </c>
      <c r="CN56" s="29" t="e">
        <v>#NULL!</v>
      </c>
      <c r="CO56" s="29" t="e">
        <v>#NULL!</v>
      </c>
      <c r="CP56" s="29" t="e">
        <v>#NULL!</v>
      </c>
      <c r="CQ56" s="28">
        <v>2</v>
      </c>
      <c r="CR56" s="29" t="e">
        <v>#NULL!</v>
      </c>
      <c r="CS56" s="28">
        <v>10</v>
      </c>
      <c r="CT56" s="28">
        <v>10</v>
      </c>
      <c r="CU56" s="28">
        <v>10</v>
      </c>
      <c r="CV56" s="28">
        <v>10</v>
      </c>
      <c r="CW56" s="28">
        <v>10</v>
      </c>
      <c r="CX56" s="28">
        <v>10</v>
      </c>
      <c r="CY56" s="28">
        <v>10</v>
      </c>
      <c r="DA56" s="29" t="e">
        <v>#NULL!</v>
      </c>
      <c r="DB56" s="29" t="e">
        <v>#NULL!</v>
      </c>
      <c r="DC56" s="28">
        <v>10</v>
      </c>
      <c r="DD56" s="29" t="e">
        <v>#NULL!</v>
      </c>
      <c r="DE56" s="29" t="e">
        <v>#NULL!</v>
      </c>
      <c r="DF56" s="29" t="e">
        <v>#NULL!</v>
      </c>
      <c r="DG56" s="29" t="e">
        <v>#NULL!</v>
      </c>
      <c r="DH56" s="29" t="e">
        <v>#NULL!</v>
      </c>
      <c r="DI56" s="29" t="e">
        <v>#NULL!</v>
      </c>
      <c r="DJ56" s="29" t="e">
        <v>#NULL!</v>
      </c>
      <c r="DK56" s="29" t="e">
        <v>#NULL!</v>
      </c>
      <c r="DL56" s="29" t="e">
        <v>#NULL!</v>
      </c>
      <c r="DN56" s="28">
        <v>1</v>
      </c>
      <c r="DP56" s="29" t="e">
        <v>#NULL!</v>
      </c>
      <c r="DQ56" s="29" t="e">
        <v>#NULL!</v>
      </c>
      <c r="DR56" s="29" t="e">
        <v>#NULL!</v>
      </c>
      <c r="DT56" s="29" t="e">
        <v>#NULL!</v>
      </c>
      <c r="DU56" s="29" t="e">
        <v>#NULL!</v>
      </c>
      <c r="DV56" s="29" t="e">
        <v>#NULL!</v>
      </c>
      <c r="DW56" s="28">
        <v>3</v>
      </c>
      <c r="DX56" s="28">
        <v>2</v>
      </c>
      <c r="DZ56" s="29" t="e">
        <v>#NULL!</v>
      </c>
      <c r="EA56" s="29" t="e">
        <v>#NULL!</v>
      </c>
      <c r="EI56" s="29" t="e">
        <v>#NULL!</v>
      </c>
      <c r="EJ56" s="29" t="e">
        <v>#NULL!</v>
      </c>
      <c r="EK56" s="29" t="e">
        <v>#NULL!</v>
      </c>
      <c r="EL56" s="29" t="e">
        <v>#NULL!</v>
      </c>
      <c r="EM56" s="28">
        <v>8</v>
      </c>
      <c r="EN56" s="28">
        <v>2</v>
      </c>
      <c r="EP56" s="28">
        <v>5</v>
      </c>
      <c r="EQ56" s="28">
        <v>1</v>
      </c>
      <c r="ER56" s="28">
        <v>1</v>
      </c>
      <c r="ES56" s="28">
        <v>78752</v>
      </c>
      <c r="ET56" s="28">
        <v>2</v>
      </c>
      <c r="EU56" s="28">
        <v>3</v>
      </c>
      <c r="EV56" s="28">
        <v>1</v>
      </c>
      <c r="EW56" s="28">
        <v>5</v>
      </c>
      <c r="EX56" s="28">
        <v>2</v>
      </c>
      <c r="EY56" t="s">
        <v>686</v>
      </c>
      <c r="EZ56" t="s">
        <v>804</v>
      </c>
      <c r="FB56" t="s">
        <v>805</v>
      </c>
      <c r="FC56" t="s">
        <v>806</v>
      </c>
      <c r="FD56" s="29" t="e">
        <v>#NULL!</v>
      </c>
      <c r="FE56" s="29" t="e">
        <v>#NULL!</v>
      </c>
      <c r="FF56" s="28">
        <v>2</v>
      </c>
      <c r="FH56" t="s">
        <v>807</v>
      </c>
      <c r="FI56" t="s">
        <v>808</v>
      </c>
    </row>
    <row r="57" spans="1:165" x14ac:dyDescent="0.15">
      <c r="A57" s="28">
        <v>358</v>
      </c>
      <c r="B57" s="28">
        <v>1</v>
      </c>
      <c r="C57" s="28">
        <v>2</v>
      </c>
      <c r="D57" s="28">
        <v>1</v>
      </c>
      <c r="E57" s="29" t="e">
        <v>#NULL!</v>
      </c>
      <c r="F57" s="28">
        <v>2</v>
      </c>
      <c r="G57" s="28">
        <v>2</v>
      </c>
      <c r="H57" s="28">
        <v>4</v>
      </c>
      <c r="I57" t="s">
        <v>809</v>
      </c>
      <c r="J57" s="28">
        <v>2</v>
      </c>
      <c r="K57" s="28">
        <v>3</v>
      </c>
      <c r="O57" t="s">
        <v>810</v>
      </c>
      <c r="P57" s="28">
        <v>1</v>
      </c>
      <c r="Q57" s="29" t="e">
        <v>#NULL!</v>
      </c>
      <c r="R57" s="29" t="e">
        <v>#NULL!</v>
      </c>
      <c r="S57" s="29" t="e">
        <v>#NULL!</v>
      </c>
      <c r="T57" s="28">
        <v>11</v>
      </c>
      <c r="U57" s="28">
        <v>11</v>
      </c>
      <c r="V57" s="28">
        <v>11</v>
      </c>
      <c r="W57" s="28">
        <v>3</v>
      </c>
      <c r="Y57" s="29" t="e">
        <v>#NULL!</v>
      </c>
      <c r="Z57" s="29" t="e">
        <v>#NULL!</v>
      </c>
      <c r="AA57" s="29" t="e">
        <v>#NULL!</v>
      </c>
      <c r="AB57" s="29" t="e">
        <v>#NULL!</v>
      </c>
      <c r="AD57" s="29" t="e">
        <v>#NULL!</v>
      </c>
      <c r="AE57" s="29" t="e">
        <v>#NULL!</v>
      </c>
      <c r="AF57" s="29" t="e">
        <v>#NULL!</v>
      </c>
      <c r="AG57" s="29" t="e">
        <v>#NULL!</v>
      </c>
      <c r="AI57" s="29" t="e">
        <v>#NULL!</v>
      </c>
      <c r="AJ57" s="29" t="e">
        <v>#NULL!</v>
      </c>
      <c r="AK57" s="29" t="e">
        <v>#NULL!</v>
      </c>
      <c r="AL57" s="29" t="e">
        <v>#NULL!</v>
      </c>
      <c r="AN57" s="29" t="e">
        <v>#NULL!</v>
      </c>
      <c r="AO57" s="29" t="e">
        <v>#NULL!</v>
      </c>
      <c r="AP57" s="29" t="e">
        <v>#NULL!</v>
      </c>
      <c r="AQ57" s="29" t="e">
        <v>#NULL!</v>
      </c>
      <c r="AS57" s="29" t="e">
        <v>#NULL!</v>
      </c>
      <c r="AT57" s="29" t="e">
        <v>#NULL!</v>
      </c>
      <c r="AU57" s="29" t="e">
        <v>#NULL!</v>
      </c>
      <c r="AV57" s="29" t="e">
        <v>#NULL!</v>
      </c>
      <c r="AX57" s="29" t="e">
        <v>#NULL!</v>
      </c>
      <c r="AY57" s="29" t="e">
        <v>#NULL!</v>
      </c>
      <c r="AZ57" s="29" t="e">
        <v>#NULL!</v>
      </c>
      <c r="BA57" s="29" t="e">
        <v>#NULL!</v>
      </c>
      <c r="BB57" t="s">
        <v>811</v>
      </c>
      <c r="BC57" s="28">
        <v>2</v>
      </c>
      <c r="BD57" s="29" t="e">
        <v>#NULL!</v>
      </c>
      <c r="BE57" s="29" t="e">
        <v>#NULL!</v>
      </c>
      <c r="BF57" s="29" t="e">
        <v>#NULL!</v>
      </c>
      <c r="BH57" s="29" t="e">
        <v>#NULL!</v>
      </c>
      <c r="BI57" s="29" t="e">
        <v>#NULL!</v>
      </c>
      <c r="BJ57" s="29" t="e">
        <v>#NULL!</v>
      </c>
      <c r="BK57" s="29" t="e">
        <v>#NULL!</v>
      </c>
      <c r="BL57" s="28">
        <v>2</v>
      </c>
      <c r="BM57" s="28">
        <v>8</v>
      </c>
      <c r="BN57" t="s">
        <v>812</v>
      </c>
      <c r="BO57" s="28">
        <v>99</v>
      </c>
      <c r="BP57" s="29" t="e">
        <v>#NULL!</v>
      </c>
      <c r="BQ57" s="29" t="e">
        <v>#NULL!</v>
      </c>
      <c r="BR57" s="29" t="e">
        <v>#NULL!</v>
      </c>
      <c r="BS57" s="28">
        <v>10</v>
      </c>
      <c r="BT57" t="s">
        <v>812</v>
      </c>
      <c r="BU57" s="28">
        <v>99</v>
      </c>
      <c r="BV57" s="29" t="e">
        <v>#NULL!</v>
      </c>
      <c r="BW57" s="29" t="e">
        <v>#NULL!</v>
      </c>
      <c r="BX57" s="29" t="e">
        <v>#NULL!</v>
      </c>
      <c r="BZ57" s="29" t="e">
        <v>#NULL!</v>
      </c>
      <c r="CA57" s="29" t="e">
        <v>#NULL!</v>
      </c>
      <c r="CB57" s="29" t="e">
        <v>#NULL!</v>
      </c>
      <c r="CC57" s="28">
        <v>1</v>
      </c>
      <c r="CD57" s="28">
        <v>7</v>
      </c>
      <c r="CE57" s="28">
        <v>2</v>
      </c>
      <c r="CF57" s="29" t="e">
        <v>#NULL!</v>
      </c>
      <c r="CG57" s="29" t="e">
        <v>#NULL!</v>
      </c>
      <c r="CI57" s="29" t="e">
        <v>#NULL!</v>
      </c>
      <c r="CJ57" s="29" t="e">
        <v>#NULL!</v>
      </c>
      <c r="CK57" s="29" t="e">
        <v>#NULL!</v>
      </c>
      <c r="CL57" s="29" t="e">
        <v>#NULL!</v>
      </c>
      <c r="CN57" s="29" t="e">
        <v>#NULL!</v>
      </c>
      <c r="CO57" s="29" t="e">
        <v>#NULL!</v>
      </c>
      <c r="CP57" s="29" t="e">
        <v>#NULL!</v>
      </c>
      <c r="CQ57" s="28">
        <v>2</v>
      </c>
      <c r="CR57" s="29" t="e">
        <v>#NULL!</v>
      </c>
      <c r="CS57" s="28">
        <v>7</v>
      </c>
      <c r="CT57" s="28">
        <v>4</v>
      </c>
      <c r="CU57" s="28">
        <v>6</v>
      </c>
      <c r="CV57" s="28">
        <v>1</v>
      </c>
      <c r="CW57" s="28">
        <v>11</v>
      </c>
      <c r="CX57" s="28">
        <v>6</v>
      </c>
      <c r="CY57" s="28">
        <v>11</v>
      </c>
      <c r="CZ57" t="s">
        <v>813</v>
      </c>
      <c r="DA57" s="28">
        <v>2</v>
      </c>
      <c r="DB57" s="29" t="e">
        <v>#NULL!</v>
      </c>
      <c r="DC57" s="28">
        <v>1</v>
      </c>
      <c r="DD57" s="28">
        <v>0</v>
      </c>
      <c r="DE57" s="28">
        <v>1</v>
      </c>
      <c r="DF57" s="28">
        <v>0</v>
      </c>
      <c r="DG57" s="28">
        <v>0</v>
      </c>
      <c r="DH57" s="28">
        <v>0</v>
      </c>
      <c r="DI57" s="28">
        <v>1</v>
      </c>
      <c r="DJ57" s="28">
        <v>0</v>
      </c>
      <c r="DK57" s="28">
        <v>0</v>
      </c>
      <c r="DL57" s="28">
        <v>0</v>
      </c>
      <c r="DN57" s="28">
        <v>2</v>
      </c>
      <c r="DO57" t="s">
        <v>814</v>
      </c>
      <c r="DP57" s="28">
        <v>99</v>
      </c>
      <c r="DQ57" s="29" t="e">
        <v>#NULL!</v>
      </c>
      <c r="DR57" s="29" t="e">
        <v>#NULL!</v>
      </c>
      <c r="DT57" s="29" t="e">
        <v>#NULL!</v>
      </c>
      <c r="DU57" s="29" t="e">
        <v>#NULL!</v>
      </c>
      <c r="DV57" s="29" t="e">
        <v>#NULL!</v>
      </c>
      <c r="DW57" s="28">
        <v>1</v>
      </c>
      <c r="DX57" s="28">
        <v>2</v>
      </c>
      <c r="DZ57" s="29" t="e">
        <v>#NULL!</v>
      </c>
      <c r="EA57" s="29" t="e">
        <v>#NULL!</v>
      </c>
      <c r="EI57" s="29" t="e">
        <v>#NULL!</v>
      </c>
      <c r="EJ57" s="29" t="e">
        <v>#NULL!</v>
      </c>
      <c r="EK57" s="29" t="e">
        <v>#NULL!</v>
      </c>
      <c r="EL57" s="29" t="e">
        <v>#NULL!</v>
      </c>
      <c r="EM57" s="28">
        <v>11</v>
      </c>
      <c r="EN57" s="28">
        <v>7</v>
      </c>
      <c r="EP57" s="28">
        <v>7</v>
      </c>
      <c r="EQ57" s="28">
        <v>5</v>
      </c>
      <c r="ER57" s="28">
        <v>3</v>
      </c>
      <c r="ES57" s="28">
        <v>78750</v>
      </c>
      <c r="ET57" s="28">
        <v>2</v>
      </c>
      <c r="EU57" s="28">
        <v>6</v>
      </c>
      <c r="EV57" s="28">
        <v>8</v>
      </c>
      <c r="EW57" s="28">
        <v>5</v>
      </c>
      <c r="EX57" s="28">
        <v>4</v>
      </c>
      <c r="EY57" t="s">
        <v>815</v>
      </c>
      <c r="EZ57" t="s">
        <v>816</v>
      </c>
      <c r="FB57" t="s">
        <v>817</v>
      </c>
      <c r="FC57" t="s">
        <v>818</v>
      </c>
      <c r="FD57" s="29" t="e">
        <v>#NULL!</v>
      </c>
      <c r="FE57" s="29" t="e">
        <v>#NULL!</v>
      </c>
      <c r="FF57" s="28">
        <v>3</v>
      </c>
      <c r="FH57" t="s">
        <v>819</v>
      </c>
      <c r="FI57" t="s">
        <v>820</v>
      </c>
    </row>
    <row r="58" spans="1:165" x14ac:dyDescent="0.15">
      <c r="A58" s="28">
        <v>359</v>
      </c>
      <c r="B58" s="28">
        <v>1</v>
      </c>
      <c r="C58" s="28">
        <v>2</v>
      </c>
      <c r="D58" s="28">
        <v>1</v>
      </c>
      <c r="E58" s="29" t="e">
        <v>#NULL!</v>
      </c>
      <c r="F58" s="28">
        <v>2</v>
      </c>
      <c r="G58" s="28">
        <v>2</v>
      </c>
      <c r="H58" s="28">
        <v>4</v>
      </c>
      <c r="I58" t="s">
        <v>821</v>
      </c>
      <c r="J58" s="28">
        <v>1</v>
      </c>
      <c r="K58" s="28">
        <v>14</v>
      </c>
      <c r="P58" s="29" t="e">
        <v>#NULL!</v>
      </c>
      <c r="Q58" s="29" t="e">
        <v>#NULL!</v>
      </c>
      <c r="R58" s="29" t="e">
        <v>#NULL!</v>
      </c>
      <c r="S58" s="29" t="e">
        <v>#NULL!</v>
      </c>
      <c r="T58" s="28">
        <v>8</v>
      </c>
      <c r="U58" s="28">
        <v>7</v>
      </c>
      <c r="V58" s="28">
        <v>8</v>
      </c>
      <c r="W58" s="28">
        <v>6</v>
      </c>
      <c r="Y58" s="29" t="e">
        <v>#NULL!</v>
      </c>
      <c r="Z58" s="29" t="e">
        <v>#NULL!</v>
      </c>
      <c r="AA58" s="29" t="e">
        <v>#NULL!</v>
      </c>
      <c r="AB58" s="29" t="e">
        <v>#NULL!</v>
      </c>
      <c r="AC58" t="s">
        <v>822</v>
      </c>
      <c r="AD58" s="28">
        <v>23</v>
      </c>
      <c r="AE58" s="29" t="e">
        <v>#NULL!</v>
      </c>
      <c r="AF58" s="29" t="e">
        <v>#NULL!</v>
      </c>
      <c r="AG58" s="29" t="e">
        <v>#NULL!</v>
      </c>
      <c r="AI58" s="29" t="e">
        <v>#NULL!</v>
      </c>
      <c r="AJ58" s="29" t="e">
        <v>#NULL!</v>
      </c>
      <c r="AK58" s="29" t="e">
        <v>#NULL!</v>
      </c>
      <c r="AL58" s="29" t="e">
        <v>#NULL!</v>
      </c>
      <c r="AN58" s="29" t="e">
        <v>#NULL!</v>
      </c>
      <c r="AO58" s="29" t="e">
        <v>#NULL!</v>
      </c>
      <c r="AP58" s="29" t="e">
        <v>#NULL!</v>
      </c>
      <c r="AQ58" s="29" t="e">
        <v>#NULL!</v>
      </c>
      <c r="AS58" s="29" t="e">
        <v>#NULL!</v>
      </c>
      <c r="AT58" s="29" t="e">
        <v>#NULL!</v>
      </c>
      <c r="AU58" s="29" t="e">
        <v>#NULL!</v>
      </c>
      <c r="AV58" s="29" t="e">
        <v>#NULL!</v>
      </c>
      <c r="AW58" t="s">
        <v>823</v>
      </c>
      <c r="AX58" s="28">
        <v>21</v>
      </c>
      <c r="AY58" s="29" t="e">
        <v>#NULL!</v>
      </c>
      <c r="AZ58" s="29" t="e">
        <v>#NULL!</v>
      </c>
      <c r="BA58" s="29" t="e">
        <v>#NULL!</v>
      </c>
      <c r="BC58" s="29" t="e">
        <v>#NULL!</v>
      </c>
      <c r="BD58" s="29" t="e">
        <v>#NULL!</v>
      </c>
      <c r="BE58" s="29" t="e">
        <v>#NULL!</v>
      </c>
      <c r="BF58" s="29" t="e">
        <v>#NULL!</v>
      </c>
      <c r="BH58" s="29" t="e">
        <v>#NULL!</v>
      </c>
      <c r="BI58" s="29" t="e">
        <v>#NULL!</v>
      </c>
      <c r="BJ58" s="29" t="e">
        <v>#NULL!</v>
      </c>
      <c r="BK58" s="29" t="e">
        <v>#NULL!</v>
      </c>
      <c r="BL58" s="28">
        <v>2</v>
      </c>
      <c r="BM58" s="28">
        <v>2</v>
      </c>
      <c r="BN58" t="s">
        <v>824</v>
      </c>
      <c r="BO58" s="28">
        <v>98</v>
      </c>
      <c r="BP58" s="29" t="e">
        <v>#NULL!</v>
      </c>
      <c r="BQ58" s="29" t="e">
        <v>#NULL!</v>
      </c>
      <c r="BR58" s="29" t="e">
        <v>#NULL!</v>
      </c>
      <c r="BS58" s="28">
        <v>1</v>
      </c>
      <c r="BT58" t="s">
        <v>332</v>
      </c>
      <c r="BU58" s="28">
        <v>98</v>
      </c>
      <c r="BV58" s="29" t="e">
        <v>#NULL!</v>
      </c>
      <c r="BW58" s="29" t="e">
        <v>#NULL!</v>
      </c>
      <c r="BX58" s="29" t="e">
        <v>#NULL!</v>
      </c>
      <c r="BZ58" s="29" t="e">
        <v>#NULL!</v>
      </c>
      <c r="CA58" s="29" t="e">
        <v>#NULL!</v>
      </c>
      <c r="CB58" s="29" t="e">
        <v>#NULL!</v>
      </c>
      <c r="CC58" s="28">
        <v>1</v>
      </c>
      <c r="CD58" s="28">
        <v>6</v>
      </c>
      <c r="CE58" s="28">
        <v>2</v>
      </c>
      <c r="CF58" s="29" t="e">
        <v>#NULL!</v>
      </c>
      <c r="CG58" s="29" t="e">
        <v>#NULL!</v>
      </c>
      <c r="CI58" s="29" t="e">
        <v>#NULL!</v>
      </c>
      <c r="CJ58" s="29" t="e">
        <v>#NULL!</v>
      </c>
      <c r="CK58" s="29" t="e">
        <v>#NULL!</v>
      </c>
      <c r="CL58" s="29" t="e">
        <v>#NULL!</v>
      </c>
      <c r="CN58" s="29" t="e">
        <v>#NULL!</v>
      </c>
      <c r="CO58" s="29" t="e">
        <v>#NULL!</v>
      </c>
      <c r="CP58" s="29" t="e">
        <v>#NULL!</v>
      </c>
      <c r="CQ58" s="28">
        <v>2</v>
      </c>
      <c r="CR58" s="29" t="e">
        <v>#NULL!</v>
      </c>
      <c r="CS58" s="28">
        <v>7</v>
      </c>
      <c r="CT58" s="28">
        <v>7</v>
      </c>
      <c r="CU58" s="28">
        <v>7</v>
      </c>
      <c r="CV58" s="28">
        <v>7</v>
      </c>
      <c r="CW58" s="28">
        <v>7</v>
      </c>
      <c r="CX58" s="28">
        <v>7</v>
      </c>
      <c r="CY58" s="28">
        <v>7</v>
      </c>
      <c r="CZ58" t="s">
        <v>825</v>
      </c>
      <c r="DA58" s="28">
        <v>97</v>
      </c>
      <c r="DB58" s="29" t="e">
        <v>#NULL!</v>
      </c>
      <c r="DC58" s="28">
        <v>7</v>
      </c>
      <c r="DD58" s="28">
        <v>0</v>
      </c>
      <c r="DE58" s="28">
        <v>0</v>
      </c>
      <c r="DF58" s="28">
        <v>0</v>
      </c>
      <c r="DG58" s="28">
        <v>0</v>
      </c>
      <c r="DH58" s="28">
        <v>0</v>
      </c>
      <c r="DI58" s="28">
        <v>0</v>
      </c>
      <c r="DJ58" s="28">
        <v>0</v>
      </c>
      <c r="DK58" s="28">
        <v>0</v>
      </c>
      <c r="DL58" s="28">
        <v>1</v>
      </c>
      <c r="DM58" t="s">
        <v>826</v>
      </c>
      <c r="DN58" s="28">
        <v>1</v>
      </c>
      <c r="DP58" s="29" t="e">
        <v>#NULL!</v>
      </c>
      <c r="DQ58" s="29" t="e">
        <v>#NULL!</v>
      </c>
      <c r="DR58" s="29" t="e">
        <v>#NULL!</v>
      </c>
      <c r="DT58" s="29" t="e">
        <v>#NULL!</v>
      </c>
      <c r="DU58" s="29" t="e">
        <v>#NULL!</v>
      </c>
      <c r="DV58" s="29" t="e">
        <v>#NULL!</v>
      </c>
      <c r="DW58" s="28">
        <v>3</v>
      </c>
      <c r="DX58" s="28">
        <v>2</v>
      </c>
      <c r="DZ58" s="29" t="e">
        <v>#NULL!</v>
      </c>
      <c r="EA58" s="29" t="e">
        <v>#NULL!</v>
      </c>
      <c r="EI58" s="29" t="e">
        <v>#NULL!</v>
      </c>
      <c r="EJ58" s="29" t="e">
        <v>#NULL!</v>
      </c>
      <c r="EK58" s="29" t="e">
        <v>#NULL!</v>
      </c>
      <c r="EL58" s="29" t="e">
        <v>#NULL!</v>
      </c>
      <c r="EM58" s="28">
        <v>10</v>
      </c>
      <c r="EN58" s="28">
        <v>1</v>
      </c>
      <c r="EP58" s="28">
        <v>5</v>
      </c>
      <c r="EQ58" s="28">
        <v>1</v>
      </c>
      <c r="ER58" s="28">
        <v>2</v>
      </c>
      <c r="ES58" s="28">
        <v>78758</v>
      </c>
      <c r="ET58" s="28">
        <v>2</v>
      </c>
      <c r="EU58" s="28">
        <v>4</v>
      </c>
      <c r="EV58" s="28">
        <v>4</v>
      </c>
      <c r="EW58" s="28">
        <v>5</v>
      </c>
      <c r="EX58" s="28">
        <v>1</v>
      </c>
      <c r="EY58" t="s">
        <v>827</v>
      </c>
      <c r="EZ58" t="s">
        <v>828</v>
      </c>
      <c r="FB58" t="s">
        <v>829</v>
      </c>
      <c r="FC58" t="s">
        <v>830</v>
      </c>
      <c r="FD58" s="29" t="e">
        <v>#NULL!</v>
      </c>
      <c r="FE58" s="29" t="e">
        <v>#NULL!</v>
      </c>
      <c r="FF58" s="28">
        <v>3</v>
      </c>
      <c r="FH58" t="s">
        <v>831</v>
      </c>
      <c r="FI58" t="s">
        <v>832</v>
      </c>
    </row>
    <row r="59" spans="1:165" x14ac:dyDescent="0.15">
      <c r="A59" s="28">
        <v>360</v>
      </c>
      <c r="B59" s="28">
        <v>1</v>
      </c>
      <c r="C59" s="28">
        <v>2</v>
      </c>
      <c r="D59" s="28">
        <v>1</v>
      </c>
      <c r="E59" s="29" t="e">
        <v>#NULL!</v>
      </c>
      <c r="F59" s="28">
        <v>2</v>
      </c>
      <c r="G59" s="28">
        <v>2</v>
      </c>
      <c r="H59" s="28">
        <v>2</v>
      </c>
      <c r="J59" s="28">
        <v>1</v>
      </c>
      <c r="K59" s="28">
        <v>3</v>
      </c>
      <c r="P59" s="29" t="e">
        <v>#NULL!</v>
      </c>
      <c r="Q59" s="29" t="e">
        <v>#NULL!</v>
      </c>
      <c r="R59" s="29" t="e">
        <v>#NULL!</v>
      </c>
      <c r="S59" s="29" t="e">
        <v>#NULL!</v>
      </c>
      <c r="T59" s="28">
        <v>10</v>
      </c>
      <c r="U59" s="28">
        <v>10</v>
      </c>
      <c r="V59" s="28">
        <v>10</v>
      </c>
      <c r="W59" s="28">
        <v>10</v>
      </c>
      <c r="Y59" s="29" t="e">
        <v>#NULL!</v>
      </c>
      <c r="Z59" s="29" t="e">
        <v>#NULL!</v>
      </c>
      <c r="AA59" s="29" t="e">
        <v>#NULL!</v>
      </c>
      <c r="AB59" s="29" t="e">
        <v>#NULL!</v>
      </c>
      <c r="AC59" t="s">
        <v>248</v>
      </c>
      <c r="AD59" s="29" t="e">
        <v>#NULL!</v>
      </c>
      <c r="AE59" s="29" t="e">
        <v>#NULL!</v>
      </c>
      <c r="AF59" s="29" t="e">
        <v>#NULL!</v>
      </c>
      <c r="AG59" s="29" t="e">
        <v>#NULL!</v>
      </c>
      <c r="AI59" s="29" t="e">
        <v>#NULL!</v>
      </c>
      <c r="AJ59" s="29" t="e">
        <v>#NULL!</v>
      </c>
      <c r="AK59" s="29" t="e">
        <v>#NULL!</v>
      </c>
      <c r="AL59" s="29" t="e">
        <v>#NULL!</v>
      </c>
      <c r="AM59" t="s">
        <v>248</v>
      </c>
      <c r="AN59" s="29" t="e">
        <v>#NULL!</v>
      </c>
      <c r="AO59" s="29" t="e">
        <v>#NULL!</v>
      </c>
      <c r="AP59" s="29" t="e">
        <v>#NULL!</v>
      </c>
      <c r="AQ59" s="29" t="e">
        <v>#NULL!</v>
      </c>
      <c r="AS59" s="29" t="e">
        <v>#NULL!</v>
      </c>
      <c r="AT59" s="29" t="e">
        <v>#NULL!</v>
      </c>
      <c r="AU59" s="29" t="e">
        <v>#NULL!</v>
      </c>
      <c r="AV59" s="29" t="e">
        <v>#NULL!</v>
      </c>
      <c r="AW59" t="s">
        <v>248</v>
      </c>
      <c r="AX59" s="29" t="e">
        <v>#NULL!</v>
      </c>
      <c r="AY59" s="29" t="e">
        <v>#NULL!</v>
      </c>
      <c r="AZ59" s="29" t="e">
        <v>#NULL!</v>
      </c>
      <c r="BA59" s="29" t="e">
        <v>#NULL!</v>
      </c>
      <c r="BC59" s="29" t="e">
        <v>#NULL!</v>
      </c>
      <c r="BD59" s="29" t="e">
        <v>#NULL!</v>
      </c>
      <c r="BE59" s="29" t="e">
        <v>#NULL!</v>
      </c>
      <c r="BF59" s="29" t="e">
        <v>#NULL!</v>
      </c>
      <c r="BG59" t="s">
        <v>248</v>
      </c>
      <c r="BH59" s="29" t="e">
        <v>#NULL!</v>
      </c>
      <c r="BI59" s="29" t="e">
        <v>#NULL!</v>
      </c>
      <c r="BJ59" s="29" t="e">
        <v>#NULL!</v>
      </c>
      <c r="BK59" s="29" t="e">
        <v>#NULL!</v>
      </c>
      <c r="BL59" s="28">
        <v>1</v>
      </c>
      <c r="BM59" s="29" t="e">
        <v>#NULL!</v>
      </c>
      <c r="BO59" s="29" t="e">
        <v>#NULL!</v>
      </c>
      <c r="BP59" s="29" t="e">
        <v>#NULL!</v>
      </c>
      <c r="BQ59" s="29" t="e">
        <v>#NULL!</v>
      </c>
      <c r="BR59" s="29" t="e">
        <v>#NULL!</v>
      </c>
      <c r="BS59" s="29" t="e">
        <v>#NULL!</v>
      </c>
      <c r="BU59" s="29" t="e">
        <v>#NULL!</v>
      </c>
      <c r="BV59" s="29" t="e">
        <v>#NULL!</v>
      </c>
      <c r="BW59" s="29" t="e">
        <v>#NULL!</v>
      </c>
      <c r="BX59" s="29" t="e">
        <v>#NULL!</v>
      </c>
      <c r="BZ59" s="29" t="e">
        <v>#NULL!</v>
      </c>
      <c r="CA59" s="29" t="e">
        <v>#NULL!</v>
      </c>
      <c r="CB59" s="29" t="e">
        <v>#NULL!</v>
      </c>
      <c r="CC59" s="28">
        <v>2</v>
      </c>
      <c r="CD59" s="29" t="e">
        <v>#NULL!</v>
      </c>
      <c r="CE59" s="28">
        <v>2</v>
      </c>
      <c r="CF59" s="29" t="e">
        <v>#NULL!</v>
      </c>
      <c r="CG59" s="29" t="e">
        <v>#NULL!</v>
      </c>
      <c r="CI59" s="29" t="e">
        <v>#NULL!</v>
      </c>
      <c r="CJ59" s="29" t="e">
        <v>#NULL!</v>
      </c>
      <c r="CK59" s="29" t="e">
        <v>#NULL!</v>
      </c>
      <c r="CL59" s="29" t="e">
        <v>#NULL!</v>
      </c>
      <c r="CN59" s="29" t="e">
        <v>#NULL!</v>
      </c>
      <c r="CO59" s="29" t="e">
        <v>#NULL!</v>
      </c>
      <c r="CP59" s="29" t="e">
        <v>#NULL!</v>
      </c>
      <c r="CQ59" s="28">
        <v>2</v>
      </c>
      <c r="CR59" s="29" t="e">
        <v>#NULL!</v>
      </c>
      <c r="CS59" s="28">
        <v>10</v>
      </c>
      <c r="CT59" s="28">
        <v>10</v>
      </c>
      <c r="CU59" s="28">
        <v>10</v>
      </c>
      <c r="CV59" s="28">
        <v>10</v>
      </c>
      <c r="CW59" s="28">
        <v>10</v>
      </c>
      <c r="CX59" s="28">
        <v>10</v>
      </c>
      <c r="CY59" s="28">
        <v>10</v>
      </c>
      <c r="DA59" s="29" t="e">
        <v>#NULL!</v>
      </c>
      <c r="DB59" s="29" t="e">
        <v>#NULL!</v>
      </c>
      <c r="DC59" s="28">
        <v>10</v>
      </c>
      <c r="DD59" s="29" t="e">
        <v>#NULL!</v>
      </c>
      <c r="DE59" s="29" t="e">
        <v>#NULL!</v>
      </c>
      <c r="DF59" s="29" t="e">
        <v>#NULL!</v>
      </c>
      <c r="DG59" s="29" t="e">
        <v>#NULL!</v>
      </c>
      <c r="DH59" s="29" t="e">
        <v>#NULL!</v>
      </c>
      <c r="DI59" s="29" t="e">
        <v>#NULL!</v>
      </c>
      <c r="DJ59" s="29" t="e">
        <v>#NULL!</v>
      </c>
      <c r="DK59" s="29" t="e">
        <v>#NULL!</v>
      </c>
      <c r="DL59" s="29" t="e">
        <v>#NULL!</v>
      </c>
      <c r="DN59" s="28">
        <v>1</v>
      </c>
      <c r="DP59" s="29" t="e">
        <v>#NULL!</v>
      </c>
      <c r="DQ59" s="29" t="e">
        <v>#NULL!</v>
      </c>
      <c r="DR59" s="29" t="e">
        <v>#NULL!</v>
      </c>
      <c r="DT59" s="29" t="e">
        <v>#NULL!</v>
      </c>
      <c r="DU59" s="29" t="e">
        <v>#NULL!</v>
      </c>
      <c r="DV59" s="29" t="e">
        <v>#NULL!</v>
      </c>
      <c r="DW59" s="28">
        <v>2</v>
      </c>
      <c r="DX59" s="28">
        <v>1</v>
      </c>
      <c r="DY59" t="s">
        <v>833</v>
      </c>
      <c r="DZ59" s="28">
        <v>17</v>
      </c>
      <c r="EA59" s="29" t="e">
        <v>#NULL!</v>
      </c>
      <c r="EI59" s="29" t="e">
        <v>#NULL!</v>
      </c>
      <c r="EJ59" s="29" t="e">
        <v>#NULL!</v>
      </c>
      <c r="EK59" s="29" t="e">
        <v>#NULL!</v>
      </c>
      <c r="EL59" s="29" t="e">
        <v>#NULL!</v>
      </c>
      <c r="EM59" s="28">
        <v>7</v>
      </c>
      <c r="EN59" s="28">
        <v>1</v>
      </c>
      <c r="EP59" s="28">
        <v>1</v>
      </c>
      <c r="EQ59" s="28">
        <v>2</v>
      </c>
      <c r="ER59" s="28">
        <v>2</v>
      </c>
      <c r="ES59" s="28">
        <v>78734</v>
      </c>
      <c r="ET59" s="28">
        <v>4</v>
      </c>
      <c r="EU59" s="28">
        <v>3</v>
      </c>
      <c r="EV59" s="28">
        <v>6</v>
      </c>
      <c r="EW59" s="28">
        <v>5</v>
      </c>
      <c r="EX59" s="28">
        <v>2</v>
      </c>
      <c r="EY59" t="s">
        <v>834</v>
      </c>
      <c r="EZ59" t="s">
        <v>835</v>
      </c>
      <c r="FB59" t="s">
        <v>836</v>
      </c>
      <c r="FC59" t="s">
        <v>837</v>
      </c>
      <c r="FD59" s="29" t="e">
        <v>#NULL!</v>
      </c>
      <c r="FE59" s="29" t="e">
        <v>#NULL!</v>
      </c>
      <c r="FF59" s="28">
        <v>2</v>
      </c>
      <c r="FH59" t="s">
        <v>838</v>
      </c>
      <c r="FI59" t="s">
        <v>839</v>
      </c>
    </row>
    <row r="60" spans="1:165" x14ac:dyDescent="0.15">
      <c r="A60" s="28">
        <v>361</v>
      </c>
      <c r="B60" s="28">
        <v>1</v>
      </c>
      <c r="C60" s="28">
        <v>2</v>
      </c>
      <c r="D60" s="28">
        <v>1</v>
      </c>
      <c r="E60" s="29" t="e">
        <v>#NULL!</v>
      </c>
      <c r="F60" s="28">
        <v>2</v>
      </c>
      <c r="G60" s="28">
        <v>2</v>
      </c>
      <c r="H60" s="28">
        <v>2</v>
      </c>
      <c r="J60" s="28">
        <v>1</v>
      </c>
      <c r="K60" s="28">
        <v>11</v>
      </c>
      <c r="P60" s="29" t="e">
        <v>#NULL!</v>
      </c>
      <c r="Q60" s="29" t="e">
        <v>#NULL!</v>
      </c>
      <c r="R60" s="29" t="e">
        <v>#NULL!</v>
      </c>
      <c r="S60" s="29" t="e">
        <v>#NULL!</v>
      </c>
      <c r="T60" s="28">
        <v>5</v>
      </c>
      <c r="U60" s="28">
        <v>4</v>
      </c>
      <c r="V60" s="28">
        <v>4</v>
      </c>
      <c r="W60" s="28">
        <v>5</v>
      </c>
      <c r="Y60" s="29" t="e">
        <v>#NULL!</v>
      </c>
      <c r="Z60" s="29" t="e">
        <v>#NULL!</v>
      </c>
      <c r="AA60" s="29" t="e">
        <v>#NULL!</v>
      </c>
      <c r="AB60" s="29" t="e">
        <v>#NULL!</v>
      </c>
      <c r="AD60" s="29" t="e">
        <v>#NULL!</v>
      </c>
      <c r="AE60" s="29" t="e">
        <v>#NULL!</v>
      </c>
      <c r="AF60" s="29" t="e">
        <v>#NULL!</v>
      </c>
      <c r="AG60" s="29" t="e">
        <v>#NULL!</v>
      </c>
      <c r="AI60" s="29" t="e">
        <v>#NULL!</v>
      </c>
      <c r="AJ60" s="29" t="e">
        <v>#NULL!</v>
      </c>
      <c r="AK60" s="29" t="e">
        <v>#NULL!</v>
      </c>
      <c r="AL60" s="29" t="e">
        <v>#NULL!</v>
      </c>
      <c r="AN60" s="29" t="e">
        <v>#NULL!</v>
      </c>
      <c r="AO60" s="29" t="e">
        <v>#NULL!</v>
      </c>
      <c r="AP60" s="29" t="e">
        <v>#NULL!</v>
      </c>
      <c r="AQ60" s="29" t="e">
        <v>#NULL!</v>
      </c>
      <c r="AS60" s="29" t="e">
        <v>#NULL!</v>
      </c>
      <c r="AT60" s="29" t="e">
        <v>#NULL!</v>
      </c>
      <c r="AU60" s="29" t="e">
        <v>#NULL!</v>
      </c>
      <c r="AV60" s="29" t="e">
        <v>#NULL!</v>
      </c>
      <c r="AX60" s="29" t="e">
        <v>#NULL!</v>
      </c>
      <c r="AY60" s="29" t="e">
        <v>#NULL!</v>
      </c>
      <c r="AZ60" s="29" t="e">
        <v>#NULL!</v>
      </c>
      <c r="BA60" s="29" t="e">
        <v>#NULL!</v>
      </c>
      <c r="BC60" s="29" t="e">
        <v>#NULL!</v>
      </c>
      <c r="BD60" s="29" t="e">
        <v>#NULL!</v>
      </c>
      <c r="BE60" s="29" t="e">
        <v>#NULL!</v>
      </c>
      <c r="BF60" s="29" t="e">
        <v>#NULL!</v>
      </c>
      <c r="BH60" s="29" t="e">
        <v>#NULL!</v>
      </c>
      <c r="BI60" s="29" t="e">
        <v>#NULL!</v>
      </c>
      <c r="BJ60" s="29" t="e">
        <v>#NULL!</v>
      </c>
      <c r="BK60" s="29" t="e">
        <v>#NULL!</v>
      </c>
      <c r="BL60" s="28">
        <v>2</v>
      </c>
      <c r="BM60" s="28">
        <v>7</v>
      </c>
      <c r="BN60" t="s">
        <v>588</v>
      </c>
      <c r="BO60" s="28">
        <v>98</v>
      </c>
      <c r="BP60" s="29" t="e">
        <v>#NULL!</v>
      </c>
      <c r="BQ60" s="29" t="e">
        <v>#NULL!</v>
      </c>
      <c r="BR60" s="29" t="e">
        <v>#NULL!</v>
      </c>
      <c r="BS60" s="28">
        <v>4</v>
      </c>
      <c r="BT60" t="s">
        <v>840</v>
      </c>
      <c r="BU60" s="28">
        <v>99</v>
      </c>
      <c r="BV60" s="29" t="e">
        <v>#NULL!</v>
      </c>
      <c r="BW60" s="29" t="e">
        <v>#NULL!</v>
      </c>
      <c r="BX60" s="29" t="e">
        <v>#NULL!</v>
      </c>
      <c r="BZ60" s="29" t="e">
        <v>#NULL!</v>
      </c>
      <c r="CA60" s="29" t="e">
        <v>#NULL!</v>
      </c>
      <c r="CB60" s="29" t="e">
        <v>#NULL!</v>
      </c>
      <c r="CC60" s="28">
        <v>2</v>
      </c>
      <c r="CD60" s="29" t="e">
        <v>#NULL!</v>
      </c>
      <c r="CE60" s="28">
        <v>2</v>
      </c>
      <c r="CF60" s="29" t="e">
        <v>#NULL!</v>
      </c>
      <c r="CG60" s="29" t="e">
        <v>#NULL!</v>
      </c>
      <c r="CI60" s="29" t="e">
        <v>#NULL!</v>
      </c>
      <c r="CJ60" s="29" t="e">
        <v>#NULL!</v>
      </c>
      <c r="CK60" s="29" t="e">
        <v>#NULL!</v>
      </c>
      <c r="CL60" s="29" t="e">
        <v>#NULL!</v>
      </c>
      <c r="CN60" s="29" t="e">
        <v>#NULL!</v>
      </c>
      <c r="CO60" s="29" t="e">
        <v>#NULL!</v>
      </c>
      <c r="CP60" s="29" t="e">
        <v>#NULL!</v>
      </c>
      <c r="CQ60" s="28">
        <v>2</v>
      </c>
      <c r="CR60" s="29" t="e">
        <v>#NULL!</v>
      </c>
      <c r="CS60" s="28">
        <v>10</v>
      </c>
      <c r="CT60" s="28">
        <v>7</v>
      </c>
      <c r="CU60" s="28">
        <v>10</v>
      </c>
      <c r="CV60" s="28">
        <v>10</v>
      </c>
      <c r="CW60" s="28">
        <v>10</v>
      </c>
      <c r="CX60" s="28">
        <v>10</v>
      </c>
      <c r="CY60" s="28">
        <v>11</v>
      </c>
      <c r="DA60" s="29" t="e">
        <v>#NULL!</v>
      </c>
      <c r="DB60" s="29" t="e">
        <v>#NULL!</v>
      </c>
      <c r="DC60" s="28">
        <v>7</v>
      </c>
      <c r="DD60" s="28">
        <v>0</v>
      </c>
      <c r="DE60" s="28">
        <v>0</v>
      </c>
      <c r="DF60" s="28">
        <v>0</v>
      </c>
      <c r="DG60" s="28">
        <v>0</v>
      </c>
      <c r="DH60" s="28">
        <v>0</v>
      </c>
      <c r="DI60" s="28">
        <v>0</v>
      </c>
      <c r="DJ60" s="28">
        <v>0</v>
      </c>
      <c r="DK60" s="28">
        <v>0</v>
      </c>
      <c r="DL60" s="28">
        <v>1</v>
      </c>
      <c r="DM60" t="s">
        <v>841</v>
      </c>
      <c r="DN60" s="28">
        <v>1</v>
      </c>
      <c r="DP60" s="29" t="e">
        <v>#NULL!</v>
      </c>
      <c r="DQ60" s="29" t="e">
        <v>#NULL!</v>
      </c>
      <c r="DR60" s="29" t="e">
        <v>#NULL!</v>
      </c>
      <c r="DT60" s="29" t="e">
        <v>#NULL!</v>
      </c>
      <c r="DU60" s="29" t="e">
        <v>#NULL!</v>
      </c>
      <c r="DV60" s="29" t="e">
        <v>#NULL!</v>
      </c>
      <c r="DW60" s="28">
        <v>2</v>
      </c>
      <c r="DX60" s="28">
        <v>2</v>
      </c>
      <c r="DZ60" s="29" t="e">
        <v>#NULL!</v>
      </c>
      <c r="EA60" s="29" t="e">
        <v>#NULL!</v>
      </c>
      <c r="EI60" s="29" t="e">
        <v>#NULL!</v>
      </c>
      <c r="EJ60" s="29" t="e">
        <v>#NULL!</v>
      </c>
      <c r="EK60" s="29" t="e">
        <v>#NULL!</v>
      </c>
      <c r="EL60" s="29" t="e">
        <v>#NULL!</v>
      </c>
      <c r="EM60" s="28">
        <v>9</v>
      </c>
      <c r="EN60" s="28">
        <v>1</v>
      </c>
      <c r="EP60" s="28">
        <v>5</v>
      </c>
      <c r="EQ60" s="28">
        <v>1</v>
      </c>
      <c r="ER60" s="28">
        <v>2</v>
      </c>
      <c r="ES60" s="28">
        <v>78736</v>
      </c>
      <c r="ET60" s="28">
        <v>3</v>
      </c>
      <c r="EU60" s="28">
        <v>2</v>
      </c>
      <c r="EV60" s="28">
        <v>5</v>
      </c>
      <c r="EW60" s="28">
        <v>5</v>
      </c>
      <c r="EX60" s="28">
        <v>1</v>
      </c>
      <c r="EY60" t="s">
        <v>842</v>
      </c>
      <c r="EZ60" t="s">
        <v>843</v>
      </c>
      <c r="FB60" t="s">
        <v>844</v>
      </c>
      <c r="FC60" t="s">
        <v>845</v>
      </c>
      <c r="FD60" s="29" t="e">
        <v>#NULL!</v>
      </c>
      <c r="FE60" s="29" t="e">
        <v>#NULL!</v>
      </c>
      <c r="FF60" s="28">
        <v>1</v>
      </c>
      <c r="FH60" t="s">
        <v>846</v>
      </c>
      <c r="FI60" t="s">
        <v>847</v>
      </c>
    </row>
    <row r="61" spans="1:165" x14ac:dyDescent="0.15">
      <c r="A61" s="28">
        <v>367</v>
      </c>
      <c r="B61" s="28">
        <v>1</v>
      </c>
      <c r="C61" s="28">
        <v>2</v>
      </c>
      <c r="D61" s="28">
        <v>1</v>
      </c>
      <c r="E61" s="29" t="e">
        <v>#NULL!</v>
      </c>
      <c r="F61" s="28">
        <v>2</v>
      </c>
      <c r="G61" s="28">
        <v>2</v>
      </c>
      <c r="H61" s="28">
        <v>2</v>
      </c>
      <c r="J61" s="28">
        <v>2</v>
      </c>
      <c r="K61" s="28">
        <v>3</v>
      </c>
      <c r="O61" t="s">
        <v>848</v>
      </c>
      <c r="P61" s="28">
        <v>1</v>
      </c>
      <c r="Q61" s="29" t="e">
        <v>#NULL!</v>
      </c>
      <c r="R61" s="29" t="e">
        <v>#NULL!</v>
      </c>
      <c r="S61" s="29" t="e">
        <v>#NULL!</v>
      </c>
      <c r="T61" s="28">
        <v>11</v>
      </c>
      <c r="U61" s="28">
        <v>11</v>
      </c>
      <c r="V61" s="28">
        <v>11</v>
      </c>
      <c r="W61" s="28">
        <v>11</v>
      </c>
      <c r="Y61" s="29" t="e">
        <v>#NULL!</v>
      </c>
      <c r="Z61" s="29" t="e">
        <v>#NULL!</v>
      </c>
      <c r="AA61" s="29" t="e">
        <v>#NULL!</v>
      </c>
      <c r="AB61" s="29" t="e">
        <v>#NULL!</v>
      </c>
      <c r="AD61" s="29" t="e">
        <v>#NULL!</v>
      </c>
      <c r="AE61" s="29" t="e">
        <v>#NULL!</v>
      </c>
      <c r="AF61" s="29" t="e">
        <v>#NULL!</v>
      </c>
      <c r="AG61" s="29" t="e">
        <v>#NULL!</v>
      </c>
      <c r="AI61" s="29" t="e">
        <v>#NULL!</v>
      </c>
      <c r="AJ61" s="29" t="e">
        <v>#NULL!</v>
      </c>
      <c r="AK61" s="29" t="e">
        <v>#NULL!</v>
      </c>
      <c r="AL61" s="29" t="e">
        <v>#NULL!</v>
      </c>
      <c r="AN61" s="29" t="e">
        <v>#NULL!</v>
      </c>
      <c r="AO61" s="29" t="e">
        <v>#NULL!</v>
      </c>
      <c r="AP61" s="29" t="e">
        <v>#NULL!</v>
      </c>
      <c r="AQ61" s="29" t="e">
        <v>#NULL!</v>
      </c>
      <c r="AS61" s="29" t="e">
        <v>#NULL!</v>
      </c>
      <c r="AT61" s="29" t="e">
        <v>#NULL!</v>
      </c>
      <c r="AU61" s="29" t="e">
        <v>#NULL!</v>
      </c>
      <c r="AV61" s="29" t="e">
        <v>#NULL!</v>
      </c>
      <c r="AX61" s="29" t="e">
        <v>#NULL!</v>
      </c>
      <c r="AY61" s="29" t="e">
        <v>#NULL!</v>
      </c>
      <c r="AZ61" s="29" t="e">
        <v>#NULL!</v>
      </c>
      <c r="BA61" s="29" t="e">
        <v>#NULL!</v>
      </c>
      <c r="BC61" s="29" t="e">
        <v>#NULL!</v>
      </c>
      <c r="BD61" s="29" t="e">
        <v>#NULL!</v>
      </c>
      <c r="BE61" s="29" t="e">
        <v>#NULL!</v>
      </c>
      <c r="BF61" s="29" t="e">
        <v>#NULL!</v>
      </c>
      <c r="BH61" s="29" t="e">
        <v>#NULL!</v>
      </c>
      <c r="BI61" s="29" t="e">
        <v>#NULL!</v>
      </c>
      <c r="BJ61" s="29" t="e">
        <v>#NULL!</v>
      </c>
      <c r="BK61" s="29" t="e">
        <v>#NULL!</v>
      </c>
      <c r="BL61" s="28">
        <v>2</v>
      </c>
      <c r="BM61" s="28">
        <v>5</v>
      </c>
      <c r="BN61" t="s">
        <v>849</v>
      </c>
      <c r="BO61" s="28">
        <v>97</v>
      </c>
      <c r="BP61" s="29" t="e">
        <v>#NULL!</v>
      </c>
      <c r="BQ61" s="29" t="e">
        <v>#NULL!</v>
      </c>
      <c r="BR61" s="29" t="e">
        <v>#NULL!</v>
      </c>
      <c r="BS61" s="28">
        <v>10</v>
      </c>
      <c r="BT61" t="s">
        <v>850</v>
      </c>
      <c r="BU61" s="28">
        <v>6</v>
      </c>
      <c r="BV61" s="29" t="e">
        <v>#NULL!</v>
      </c>
      <c r="BW61" s="29" t="e">
        <v>#NULL!</v>
      </c>
      <c r="BX61" s="29" t="e">
        <v>#NULL!</v>
      </c>
      <c r="BZ61" s="29" t="e">
        <v>#NULL!</v>
      </c>
      <c r="CA61" s="29" t="e">
        <v>#NULL!</v>
      </c>
      <c r="CB61" s="29" t="e">
        <v>#NULL!</v>
      </c>
      <c r="CC61" s="28">
        <v>2</v>
      </c>
      <c r="CD61" s="29" t="e">
        <v>#NULL!</v>
      </c>
      <c r="CE61" s="28">
        <v>2</v>
      </c>
      <c r="CF61" s="29" t="e">
        <v>#NULL!</v>
      </c>
      <c r="CG61" s="29" t="e">
        <v>#NULL!</v>
      </c>
      <c r="CI61" s="29" t="e">
        <v>#NULL!</v>
      </c>
      <c r="CJ61" s="29" t="e">
        <v>#NULL!</v>
      </c>
      <c r="CK61" s="29" t="e">
        <v>#NULL!</v>
      </c>
      <c r="CL61" s="29" t="e">
        <v>#NULL!</v>
      </c>
      <c r="CN61" s="29" t="e">
        <v>#NULL!</v>
      </c>
      <c r="CO61" s="29" t="e">
        <v>#NULL!</v>
      </c>
      <c r="CP61" s="29" t="e">
        <v>#NULL!</v>
      </c>
      <c r="CQ61" s="28">
        <v>2</v>
      </c>
      <c r="CR61" s="29" t="e">
        <v>#NULL!</v>
      </c>
      <c r="CS61" s="28">
        <v>5</v>
      </c>
      <c r="CT61" s="28">
        <v>8</v>
      </c>
      <c r="CU61" s="28">
        <v>2</v>
      </c>
      <c r="CV61" s="28">
        <v>1</v>
      </c>
      <c r="CW61" s="28">
        <v>8</v>
      </c>
      <c r="CX61" s="28">
        <v>8</v>
      </c>
      <c r="CY61" s="28">
        <v>7</v>
      </c>
      <c r="CZ61" t="s">
        <v>851</v>
      </c>
      <c r="DA61" s="28">
        <v>2</v>
      </c>
      <c r="DB61" s="29" t="e">
        <v>#NULL!</v>
      </c>
      <c r="DC61" s="28">
        <v>3</v>
      </c>
      <c r="DD61" s="28">
        <v>0</v>
      </c>
      <c r="DE61" s="28">
        <v>0</v>
      </c>
      <c r="DF61" s="28">
        <v>0</v>
      </c>
      <c r="DG61" s="28">
        <v>0</v>
      </c>
      <c r="DH61" s="28">
        <v>0</v>
      </c>
      <c r="DI61" s="28">
        <v>1</v>
      </c>
      <c r="DJ61" s="28">
        <v>0</v>
      </c>
      <c r="DK61" s="28">
        <v>0</v>
      </c>
      <c r="DL61" s="28">
        <v>0</v>
      </c>
      <c r="DN61" s="28">
        <v>2</v>
      </c>
      <c r="DO61" t="s">
        <v>852</v>
      </c>
      <c r="DP61" s="28">
        <v>99</v>
      </c>
      <c r="DQ61" s="29" t="e">
        <v>#NULL!</v>
      </c>
      <c r="DR61" s="29" t="e">
        <v>#NULL!</v>
      </c>
      <c r="DT61" s="29" t="e">
        <v>#NULL!</v>
      </c>
      <c r="DU61" s="29" t="e">
        <v>#NULL!</v>
      </c>
      <c r="DV61" s="29" t="e">
        <v>#NULL!</v>
      </c>
      <c r="DW61" s="28">
        <v>1</v>
      </c>
      <c r="DX61" s="28">
        <v>2</v>
      </c>
      <c r="DZ61" s="29" t="e">
        <v>#NULL!</v>
      </c>
      <c r="EA61" s="29" t="e">
        <v>#NULL!</v>
      </c>
      <c r="EI61" s="29" t="e">
        <v>#NULL!</v>
      </c>
      <c r="EJ61" s="29" t="e">
        <v>#NULL!</v>
      </c>
      <c r="EK61" s="29" t="e">
        <v>#NULL!</v>
      </c>
      <c r="EL61" s="29" t="e">
        <v>#NULL!</v>
      </c>
      <c r="EM61" s="28">
        <v>10</v>
      </c>
      <c r="EN61" s="28">
        <v>1</v>
      </c>
      <c r="EP61" s="28">
        <v>1</v>
      </c>
      <c r="EQ61" s="28">
        <v>3</v>
      </c>
      <c r="ER61" s="28">
        <v>2</v>
      </c>
      <c r="ES61" s="28">
        <v>78727</v>
      </c>
      <c r="ET61" s="28">
        <v>2</v>
      </c>
      <c r="EU61" s="28">
        <v>5</v>
      </c>
      <c r="EV61" s="28">
        <v>6</v>
      </c>
      <c r="EW61" s="28">
        <v>3</v>
      </c>
      <c r="EX61" s="28">
        <v>1</v>
      </c>
      <c r="EY61" t="s">
        <v>853</v>
      </c>
      <c r="EZ61" t="s">
        <v>854</v>
      </c>
      <c r="FB61" t="s">
        <v>855</v>
      </c>
      <c r="FC61" t="s">
        <v>856</v>
      </c>
      <c r="FD61" s="29" t="e">
        <v>#NULL!</v>
      </c>
      <c r="FE61" s="29" t="e">
        <v>#NULL!</v>
      </c>
      <c r="FF61" s="28">
        <v>3</v>
      </c>
      <c r="FH61" t="s">
        <v>857</v>
      </c>
      <c r="FI61" t="s">
        <v>858</v>
      </c>
    </row>
    <row r="62" spans="1:165" x14ac:dyDescent="0.15">
      <c r="A62" s="28">
        <v>374</v>
      </c>
      <c r="B62" s="28">
        <v>1</v>
      </c>
      <c r="C62" s="28">
        <v>2</v>
      </c>
      <c r="D62" s="28">
        <v>1</v>
      </c>
      <c r="E62" s="29" t="e">
        <v>#NULL!</v>
      </c>
      <c r="F62" s="28">
        <v>2</v>
      </c>
      <c r="G62" s="28">
        <v>2</v>
      </c>
      <c r="H62" s="28">
        <v>4</v>
      </c>
      <c r="I62" t="s">
        <v>859</v>
      </c>
      <c r="J62" s="28">
        <v>1</v>
      </c>
      <c r="K62" s="28">
        <v>4</v>
      </c>
      <c r="P62" s="29" t="e">
        <v>#NULL!</v>
      </c>
      <c r="Q62" s="29" t="e">
        <v>#NULL!</v>
      </c>
      <c r="R62" s="29" t="e">
        <v>#NULL!</v>
      </c>
      <c r="S62" s="29" t="e">
        <v>#NULL!</v>
      </c>
      <c r="T62" s="28">
        <v>10</v>
      </c>
      <c r="U62" s="28">
        <v>10</v>
      </c>
      <c r="V62" s="28">
        <v>5</v>
      </c>
      <c r="W62" s="28">
        <v>10</v>
      </c>
      <c r="Y62" s="29" t="e">
        <v>#NULL!</v>
      </c>
      <c r="Z62" s="29" t="e">
        <v>#NULL!</v>
      </c>
      <c r="AA62" s="29" t="e">
        <v>#NULL!</v>
      </c>
      <c r="AB62" s="29" t="e">
        <v>#NULL!</v>
      </c>
      <c r="AC62" t="s">
        <v>860</v>
      </c>
      <c r="AD62" s="28">
        <v>20</v>
      </c>
      <c r="AE62" s="29" t="e">
        <v>#NULL!</v>
      </c>
      <c r="AF62" s="29" t="e">
        <v>#NULL!</v>
      </c>
      <c r="AG62" s="29" t="e">
        <v>#NULL!</v>
      </c>
      <c r="AI62" s="29" t="e">
        <v>#NULL!</v>
      </c>
      <c r="AJ62" s="29" t="e">
        <v>#NULL!</v>
      </c>
      <c r="AK62" s="29" t="e">
        <v>#NULL!</v>
      </c>
      <c r="AL62" s="29" t="e">
        <v>#NULL!</v>
      </c>
      <c r="AM62" t="s">
        <v>861</v>
      </c>
      <c r="AN62" s="28">
        <v>28</v>
      </c>
      <c r="AO62" s="29" t="e">
        <v>#NULL!</v>
      </c>
      <c r="AP62" s="29" t="e">
        <v>#NULL!</v>
      </c>
      <c r="AQ62" s="29" t="e">
        <v>#NULL!</v>
      </c>
      <c r="AS62" s="29" t="e">
        <v>#NULL!</v>
      </c>
      <c r="AT62" s="29" t="e">
        <v>#NULL!</v>
      </c>
      <c r="AU62" s="29" t="e">
        <v>#NULL!</v>
      </c>
      <c r="AV62" s="29" t="e">
        <v>#NULL!</v>
      </c>
      <c r="AX62" s="29" t="e">
        <v>#NULL!</v>
      </c>
      <c r="AY62" s="29" t="e">
        <v>#NULL!</v>
      </c>
      <c r="AZ62" s="29" t="e">
        <v>#NULL!</v>
      </c>
      <c r="BA62" s="29" t="e">
        <v>#NULL!</v>
      </c>
      <c r="BC62" s="29" t="e">
        <v>#NULL!</v>
      </c>
      <c r="BD62" s="29" t="e">
        <v>#NULL!</v>
      </c>
      <c r="BE62" s="29" t="e">
        <v>#NULL!</v>
      </c>
      <c r="BF62" s="29" t="e">
        <v>#NULL!</v>
      </c>
      <c r="BG62" t="s">
        <v>862</v>
      </c>
      <c r="BH62" s="28">
        <v>21</v>
      </c>
      <c r="BI62" s="29" t="e">
        <v>#NULL!</v>
      </c>
      <c r="BJ62" s="29" t="e">
        <v>#NULL!</v>
      </c>
      <c r="BK62" s="29" t="e">
        <v>#NULL!</v>
      </c>
      <c r="BL62" s="28">
        <v>5</v>
      </c>
      <c r="BM62" s="28">
        <v>10</v>
      </c>
      <c r="BN62" t="s">
        <v>863</v>
      </c>
      <c r="BO62" s="28">
        <v>98</v>
      </c>
      <c r="BP62" s="29" t="e">
        <v>#NULL!</v>
      </c>
      <c r="BQ62" s="29" t="e">
        <v>#NULL!</v>
      </c>
      <c r="BR62" s="29" t="e">
        <v>#NULL!</v>
      </c>
      <c r="BS62" s="28">
        <v>10</v>
      </c>
      <c r="BT62" t="s">
        <v>864</v>
      </c>
      <c r="BU62" s="28">
        <v>6</v>
      </c>
      <c r="BV62" s="29" t="e">
        <v>#NULL!</v>
      </c>
      <c r="BW62" s="29" t="e">
        <v>#NULL!</v>
      </c>
      <c r="BX62" s="29" t="e">
        <v>#NULL!</v>
      </c>
      <c r="BZ62" s="29" t="e">
        <v>#NULL!</v>
      </c>
      <c r="CA62" s="29" t="e">
        <v>#NULL!</v>
      </c>
      <c r="CB62" s="29" t="e">
        <v>#NULL!</v>
      </c>
      <c r="CC62" s="28">
        <v>3</v>
      </c>
      <c r="CD62" s="29" t="e">
        <v>#NULL!</v>
      </c>
      <c r="CE62" s="28">
        <v>2</v>
      </c>
      <c r="CF62" s="29" t="e">
        <v>#NULL!</v>
      </c>
      <c r="CG62" s="29" t="e">
        <v>#NULL!</v>
      </c>
      <c r="CI62" s="29" t="e">
        <v>#NULL!</v>
      </c>
      <c r="CJ62" s="29" t="e">
        <v>#NULL!</v>
      </c>
      <c r="CK62" s="29" t="e">
        <v>#NULL!</v>
      </c>
      <c r="CL62" s="29" t="e">
        <v>#NULL!</v>
      </c>
      <c r="CN62" s="29" t="e">
        <v>#NULL!</v>
      </c>
      <c r="CO62" s="29" t="e">
        <v>#NULL!</v>
      </c>
      <c r="CP62" s="29" t="e">
        <v>#NULL!</v>
      </c>
      <c r="CQ62" s="28">
        <v>2</v>
      </c>
      <c r="CR62" s="29" t="e">
        <v>#NULL!</v>
      </c>
      <c r="CS62" s="28">
        <v>10</v>
      </c>
      <c r="CT62" s="28">
        <v>10</v>
      </c>
      <c r="CU62" s="28">
        <v>10</v>
      </c>
      <c r="CV62" s="28">
        <v>10</v>
      </c>
      <c r="CW62" s="28">
        <v>10</v>
      </c>
      <c r="CX62" s="28">
        <v>10</v>
      </c>
      <c r="CY62" s="28">
        <v>10</v>
      </c>
      <c r="DA62" s="29" t="e">
        <v>#NULL!</v>
      </c>
      <c r="DB62" s="29" t="e">
        <v>#NULL!</v>
      </c>
      <c r="DC62" s="28">
        <v>10</v>
      </c>
      <c r="DD62" s="29" t="e">
        <v>#NULL!</v>
      </c>
      <c r="DE62" s="29" t="e">
        <v>#NULL!</v>
      </c>
      <c r="DF62" s="29" t="e">
        <v>#NULL!</v>
      </c>
      <c r="DG62" s="29" t="e">
        <v>#NULL!</v>
      </c>
      <c r="DH62" s="29" t="e">
        <v>#NULL!</v>
      </c>
      <c r="DI62" s="29" t="e">
        <v>#NULL!</v>
      </c>
      <c r="DJ62" s="29" t="e">
        <v>#NULL!</v>
      </c>
      <c r="DK62" s="29" t="e">
        <v>#NULL!</v>
      </c>
      <c r="DL62" s="29" t="e">
        <v>#NULL!</v>
      </c>
      <c r="DN62" s="28">
        <v>1</v>
      </c>
      <c r="DP62" s="29" t="e">
        <v>#NULL!</v>
      </c>
      <c r="DQ62" s="29" t="e">
        <v>#NULL!</v>
      </c>
      <c r="DR62" s="29" t="e">
        <v>#NULL!</v>
      </c>
      <c r="DT62" s="29" t="e">
        <v>#NULL!</v>
      </c>
      <c r="DU62" s="29" t="e">
        <v>#NULL!</v>
      </c>
      <c r="DV62" s="29" t="e">
        <v>#NULL!</v>
      </c>
      <c r="DW62" s="28">
        <v>3</v>
      </c>
      <c r="DX62" s="28">
        <v>3</v>
      </c>
      <c r="DZ62" s="29" t="e">
        <v>#NULL!</v>
      </c>
      <c r="EA62" s="29" t="e">
        <v>#NULL!</v>
      </c>
      <c r="EI62" s="29" t="e">
        <v>#NULL!</v>
      </c>
      <c r="EJ62" s="29" t="e">
        <v>#NULL!</v>
      </c>
      <c r="EK62" s="29" t="e">
        <v>#NULL!</v>
      </c>
      <c r="EL62" s="29" t="e">
        <v>#NULL!</v>
      </c>
      <c r="EM62" s="28">
        <v>8</v>
      </c>
      <c r="EN62" s="28">
        <v>1</v>
      </c>
      <c r="EP62" s="28">
        <v>1</v>
      </c>
      <c r="EQ62" s="28">
        <v>1</v>
      </c>
      <c r="ER62" s="28">
        <v>2</v>
      </c>
      <c r="ES62" s="28">
        <v>78759</v>
      </c>
      <c r="ET62" s="28">
        <v>2</v>
      </c>
      <c r="EU62" s="28">
        <v>5</v>
      </c>
      <c r="EV62" s="28">
        <v>6</v>
      </c>
      <c r="EW62" s="28">
        <v>4</v>
      </c>
      <c r="EX62" s="28">
        <v>2</v>
      </c>
      <c r="EY62" t="s">
        <v>865</v>
      </c>
      <c r="EZ62" t="s">
        <v>866</v>
      </c>
      <c r="FB62" t="s">
        <v>867</v>
      </c>
      <c r="FC62" t="s">
        <v>868</v>
      </c>
      <c r="FD62" s="29" t="e">
        <v>#NULL!</v>
      </c>
      <c r="FE62" s="29" t="e">
        <v>#NULL!</v>
      </c>
      <c r="FF62" s="28">
        <v>1</v>
      </c>
      <c r="FH62" t="s">
        <v>869</v>
      </c>
      <c r="FI62" t="s">
        <v>870</v>
      </c>
    </row>
    <row r="63" spans="1:165" x14ac:dyDescent="0.15">
      <c r="A63" s="28">
        <v>377</v>
      </c>
      <c r="B63" s="28">
        <v>1</v>
      </c>
      <c r="C63" s="28">
        <v>2</v>
      </c>
      <c r="D63" s="28">
        <v>1</v>
      </c>
      <c r="E63" s="29" t="e">
        <v>#NULL!</v>
      </c>
      <c r="F63" s="28">
        <v>2</v>
      </c>
      <c r="G63" s="28">
        <v>2</v>
      </c>
      <c r="H63" s="28">
        <v>2</v>
      </c>
      <c r="J63" s="28">
        <v>1</v>
      </c>
      <c r="K63" s="28">
        <v>13</v>
      </c>
      <c r="P63" s="29" t="e">
        <v>#NULL!</v>
      </c>
      <c r="Q63" s="29" t="e">
        <v>#NULL!</v>
      </c>
      <c r="R63" s="29" t="e">
        <v>#NULL!</v>
      </c>
      <c r="S63" s="29" t="e">
        <v>#NULL!</v>
      </c>
      <c r="T63" s="28">
        <v>10</v>
      </c>
      <c r="U63" s="28">
        <v>10</v>
      </c>
      <c r="V63" s="28">
        <v>10</v>
      </c>
      <c r="W63" s="28">
        <v>10</v>
      </c>
      <c r="Y63" s="29" t="e">
        <v>#NULL!</v>
      </c>
      <c r="Z63" s="29" t="e">
        <v>#NULL!</v>
      </c>
      <c r="AA63" s="29" t="e">
        <v>#NULL!</v>
      </c>
      <c r="AB63" s="29" t="e">
        <v>#NULL!</v>
      </c>
      <c r="AC63" t="s">
        <v>442</v>
      </c>
      <c r="AD63" s="28">
        <v>20</v>
      </c>
      <c r="AE63" s="29" t="e">
        <v>#NULL!</v>
      </c>
      <c r="AF63" s="29" t="e">
        <v>#NULL!</v>
      </c>
      <c r="AG63" s="29" t="e">
        <v>#NULL!</v>
      </c>
      <c r="AI63" s="29" t="e">
        <v>#NULL!</v>
      </c>
      <c r="AJ63" s="29" t="e">
        <v>#NULL!</v>
      </c>
      <c r="AK63" s="29" t="e">
        <v>#NULL!</v>
      </c>
      <c r="AL63" s="29" t="e">
        <v>#NULL!</v>
      </c>
      <c r="AM63" t="s">
        <v>871</v>
      </c>
      <c r="AN63" s="28">
        <v>28</v>
      </c>
      <c r="AO63" s="29" t="e">
        <v>#NULL!</v>
      </c>
      <c r="AP63" s="29" t="e">
        <v>#NULL!</v>
      </c>
      <c r="AQ63" s="29" t="e">
        <v>#NULL!</v>
      </c>
      <c r="AS63" s="29" t="e">
        <v>#NULL!</v>
      </c>
      <c r="AT63" s="29" t="e">
        <v>#NULL!</v>
      </c>
      <c r="AU63" s="29" t="e">
        <v>#NULL!</v>
      </c>
      <c r="AV63" s="29" t="e">
        <v>#NULL!</v>
      </c>
      <c r="AW63" t="s">
        <v>872</v>
      </c>
      <c r="AX63" s="28">
        <v>3</v>
      </c>
      <c r="AY63" s="29" t="e">
        <v>#NULL!</v>
      </c>
      <c r="AZ63" s="29" t="e">
        <v>#NULL!</v>
      </c>
      <c r="BA63" s="29" t="e">
        <v>#NULL!</v>
      </c>
      <c r="BC63" s="29" t="e">
        <v>#NULL!</v>
      </c>
      <c r="BD63" s="29" t="e">
        <v>#NULL!</v>
      </c>
      <c r="BE63" s="29" t="e">
        <v>#NULL!</v>
      </c>
      <c r="BF63" s="29" t="e">
        <v>#NULL!</v>
      </c>
      <c r="BG63" t="s">
        <v>873</v>
      </c>
      <c r="BH63" s="28">
        <v>21</v>
      </c>
      <c r="BI63" s="29" t="e">
        <v>#NULL!</v>
      </c>
      <c r="BJ63" s="29" t="e">
        <v>#NULL!</v>
      </c>
      <c r="BK63" s="29" t="e">
        <v>#NULL!</v>
      </c>
      <c r="BL63" s="28">
        <v>1</v>
      </c>
      <c r="BM63" s="29" t="e">
        <v>#NULL!</v>
      </c>
      <c r="BO63" s="29" t="e">
        <v>#NULL!</v>
      </c>
      <c r="BP63" s="29" t="e">
        <v>#NULL!</v>
      </c>
      <c r="BQ63" s="29" t="e">
        <v>#NULL!</v>
      </c>
      <c r="BR63" s="29" t="e">
        <v>#NULL!</v>
      </c>
      <c r="BS63" s="29" t="e">
        <v>#NULL!</v>
      </c>
      <c r="BU63" s="29" t="e">
        <v>#NULL!</v>
      </c>
      <c r="BV63" s="29" t="e">
        <v>#NULL!</v>
      </c>
      <c r="BW63" s="29" t="e">
        <v>#NULL!</v>
      </c>
      <c r="BX63" s="29" t="e">
        <v>#NULL!</v>
      </c>
      <c r="BZ63" s="29" t="e">
        <v>#NULL!</v>
      </c>
      <c r="CA63" s="29" t="e">
        <v>#NULL!</v>
      </c>
      <c r="CB63" s="29" t="e">
        <v>#NULL!</v>
      </c>
      <c r="CC63" s="28">
        <v>3</v>
      </c>
      <c r="CD63" s="29" t="e">
        <v>#NULL!</v>
      </c>
      <c r="CE63" s="28">
        <v>2</v>
      </c>
      <c r="CF63" s="29" t="e">
        <v>#NULL!</v>
      </c>
      <c r="CG63" s="29" t="e">
        <v>#NULL!</v>
      </c>
      <c r="CI63" s="29" t="e">
        <v>#NULL!</v>
      </c>
      <c r="CJ63" s="29" t="e">
        <v>#NULL!</v>
      </c>
      <c r="CK63" s="29" t="e">
        <v>#NULL!</v>
      </c>
      <c r="CL63" s="29" t="e">
        <v>#NULL!</v>
      </c>
      <c r="CN63" s="29" t="e">
        <v>#NULL!</v>
      </c>
      <c r="CO63" s="29" t="e">
        <v>#NULL!</v>
      </c>
      <c r="CP63" s="29" t="e">
        <v>#NULL!</v>
      </c>
      <c r="CQ63" s="28">
        <v>2</v>
      </c>
      <c r="CR63" s="29" t="e">
        <v>#NULL!</v>
      </c>
      <c r="CS63" s="28">
        <v>10</v>
      </c>
      <c r="CT63" s="28">
        <v>10</v>
      </c>
      <c r="CU63" s="28">
        <v>10</v>
      </c>
      <c r="CV63" s="28">
        <v>10</v>
      </c>
      <c r="CW63" s="28">
        <v>10</v>
      </c>
      <c r="CX63" s="28">
        <v>10</v>
      </c>
      <c r="CY63" s="28">
        <v>10</v>
      </c>
      <c r="DA63" s="29" t="e">
        <v>#NULL!</v>
      </c>
      <c r="DB63" s="29" t="e">
        <v>#NULL!</v>
      </c>
      <c r="DC63" s="28">
        <v>10</v>
      </c>
      <c r="DD63" s="29" t="e">
        <v>#NULL!</v>
      </c>
      <c r="DE63" s="29" t="e">
        <v>#NULL!</v>
      </c>
      <c r="DF63" s="29" t="e">
        <v>#NULL!</v>
      </c>
      <c r="DG63" s="29" t="e">
        <v>#NULL!</v>
      </c>
      <c r="DH63" s="29" t="e">
        <v>#NULL!</v>
      </c>
      <c r="DI63" s="29" t="e">
        <v>#NULL!</v>
      </c>
      <c r="DJ63" s="29" t="e">
        <v>#NULL!</v>
      </c>
      <c r="DK63" s="29" t="e">
        <v>#NULL!</v>
      </c>
      <c r="DL63" s="29" t="e">
        <v>#NULL!</v>
      </c>
      <c r="DN63" s="28">
        <v>1</v>
      </c>
      <c r="DP63" s="29" t="e">
        <v>#NULL!</v>
      </c>
      <c r="DQ63" s="29" t="e">
        <v>#NULL!</v>
      </c>
      <c r="DR63" s="29" t="e">
        <v>#NULL!</v>
      </c>
      <c r="DT63" s="29" t="e">
        <v>#NULL!</v>
      </c>
      <c r="DU63" s="29" t="e">
        <v>#NULL!</v>
      </c>
      <c r="DV63" s="29" t="e">
        <v>#NULL!</v>
      </c>
      <c r="DW63" s="28">
        <v>4</v>
      </c>
      <c r="DX63" s="28">
        <v>3</v>
      </c>
      <c r="DZ63" s="29" t="e">
        <v>#NULL!</v>
      </c>
      <c r="EA63" s="29" t="e">
        <v>#NULL!</v>
      </c>
      <c r="EI63" s="29" t="e">
        <v>#NULL!</v>
      </c>
      <c r="EJ63" s="29" t="e">
        <v>#NULL!</v>
      </c>
      <c r="EK63" s="29" t="e">
        <v>#NULL!</v>
      </c>
      <c r="EL63" s="29" t="e">
        <v>#NULL!</v>
      </c>
      <c r="EM63" s="28">
        <v>8</v>
      </c>
      <c r="EN63" s="28">
        <v>1</v>
      </c>
      <c r="EP63" s="28">
        <v>1</v>
      </c>
      <c r="EQ63" s="28">
        <v>3</v>
      </c>
      <c r="ER63" s="28">
        <v>1</v>
      </c>
      <c r="ES63" s="28">
        <v>78748</v>
      </c>
      <c r="ET63" s="28">
        <v>1</v>
      </c>
      <c r="EU63" s="28">
        <v>4</v>
      </c>
      <c r="EV63" s="28">
        <v>6</v>
      </c>
      <c r="EW63" s="28">
        <v>5</v>
      </c>
      <c r="EX63" s="28">
        <v>1</v>
      </c>
      <c r="EY63" t="s">
        <v>874</v>
      </c>
      <c r="EZ63" t="s">
        <v>875</v>
      </c>
      <c r="FB63" t="s">
        <v>876</v>
      </c>
      <c r="FC63" t="s">
        <v>877</v>
      </c>
      <c r="FD63" s="29" t="e">
        <v>#NULL!</v>
      </c>
      <c r="FE63" s="29" t="e">
        <v>#NULL!</v>
      </c>
      <c r="FF63" s="28">
        <v>2</v>
      </c>
      <c r="FH63" t="s">
        <v>878</v>
      </c>
      <c r="FI63" t="s">
        <v>879</v>
      </c>
    </row>
    <row r="64" spans="1:165" x14ac:dyDescent="0.15">
      <c r="A64" s="28">
        <v>378</v>
      </c>
      <c r="B64" s="28">
        <v>1</v>
      </c>
      <c r="C64" s="28">
        <v>2</v>
      </c>
      <c r="D64" s="28">
        <v>1</v>
      </c>
      <c r="E64" s="29" t="e">
        <v>#NULL!</v>
      </c>
      <c r="F64" s="28">
        <v>2</v>
      </c>
      <c r="G64" s="28">
        <v>2</v>
      </c>
      <c r="H64" s="28">
        <v>2</v>
      </c>
      <c r="J64" s="28">
        <v>1</v>
      </c>
      <c r="K64" s="28">
        <v>3</v>
      </c>
      <c r="P64" s="29" t="e">
        <v>#NULL!</v>
      </c>
      <c r="Q64" s="29" t="e">
        <v>#NULL!</v>
      </c>
      <c r="R64" s="29" t="e">
        <v>#NULL!</v>
      </c>
      <c r="S64" s="29" t="e">
        <v>#NULL!</v>
      </c>
      <c r="T64" s="28">
        <v>10</v>
      </c>
      <c r="U64" s="28">
        <v>11</v>
      </c>
      <c r="V64" s="28">
        <v>7</v>
      </c>
      <c r="W64" s="28">
        <v>11</v>
      </c>
      <c r="Y64" s="29" t="e">
        <v>#NULL!</v>
      </c>
      <c r="Z64" s="29" t="e">
        <v>#NULL!</v>
      </c>
      <c r="AA64" s="29" t="e">
        <v>#NULL!</v>
      </c>
      <c r="AB64" s="29" t="e">
        <v>#NULL!</v>
      </c>
      <c r="AC64" t="s">
        <v>880</v>
      </c>
      <c r="AD64" s="28">
        <v>20</v>
      </c>
      <c r="AE64" s="29" t="e">
        <v>#NULL!</v>
      </c>
      <c r="AF64" s="29" t="e">
        <v>#NULL!</v>
      </c>
      <c r="AG64" s="29" t="e">
        <v>#NULL!</v>
      </c>
      <c r="AI64" s="29" t="e">
        <v>#NULL!</v>
      </c>
      <c r="AJ64" s="29" t="e">
        <v>#NULL!</v>
      </c>
      <c r="AK64" s="29" t="e">
        <v>#NULL!</v>
      </c>
      <c r="AL64" s="29" t="e">
        <v>#NULL!</v>
      </c>
      <c r="AN64" s="29" t="e">
        <v>#NULL!</v>
      </c>
      <c r="AO64" s="29" t="e">
        <v>#NULL!</v>
      </c>
      <c r="AP64" s="29" t="e">
        <v>#NULL!</v>
      </c>
      <c r="AQ64" s="29" t="e">
        <v>#NULL!</v>
      </c>
      <c r="AS64" s="29" t="e">
        <v>#NULL!</v>
      </c>
      <c r="AT64" s="29" t="e">
        <v>#NULL!</v>
      </c>
      <c r="AU64" s="29" t="e">
        <v>#NULL!</v>
      </c>
      <c r="AV64" s="29" t="e">
        <v>#NULL!</v>
      </c>
      <c r="AX64" s="29" t="e">
        <v>#NULL!</v>
      </c>
      <c r="AY64" s="29" t="e">
        <v>#NULL!</v>
      </c>
      <c r="AZ64" s="29" t="e">
        <v>#NULL!</v>
      </c>
      <c r="BA64" s="29" t="e">
        <v>#NULL!</v>
      </c>
      <c r="BC64" s="29" t="e">
        <v>#NULL!</v>
      </c>
      <c r="BD64" s="29" t="e">
        <v>#NULL!</v>
      </c>
      <c r="BE64" s="29" t="e">
        <v>#NULL!</v>
      </c>
      <c r="BF64" s="29" t="e">
        <v>#NULL!</v>
      </c>
      <c r="BH64" s="29" t="e">
        <v>#NULL!</v>
      </c>
      <c r="BI64" s="29" t="e">
        <v>#NULL!</v>
      </c>
      <c r="BJ64" s="29" t="e">
        <v>#NULL!</v>
      </c>
      <c r="BK64" s="29" t="e">
        <v>#NULL!</v>
      </c>
      <c r="BL64" s="28">
        <v>5</v>
      </c>
      <c r="BM64" s="28">
        <v>1</v>
      </c>
      <c r="BO64" s="29" t="e">
        <v>#NULL!</v>
      </c>
      <c r="BP64" s="29" t="e">
        <v>#NULL!</v>
      </c>
      <c r="BQ64" s="29" t="e">
        <v>#NULL!</v>
      </c>
      <c r="BR64" s="29" t="e">
        <v>#NULL!</v>
      </c>
      <c r="BS64" s="29" t="e">
        <v>#NULL!</v>
      </c>
      <c r="BU64" s="29" t="e">
        <v>#NULL!</v>
      </c>
      <c r="BV64" s="29" t="e">
        <v>#NULL!</v>
      </c>
      <c r="BW64" s="29" t="e">
        <v>#NULL!</v>
      </c>
      <c r="BX64" s="29" t="e">
        <v>#NULL!</v>
      </c>
      <c r="BZ64" s="29" t="e">
        <v>#NULL!</v>
      </c>
      <c r="CA64" s="29" t="e">
        <v>#NULL!</v>
      </c>
      <c r="CB64" s="29" t="e">
        <v>#NULL!</v>
      </c>
      <c r="CC64" s="28">
        <v>2</v>
      </c>
      <c r="CD64" s="29" t="e">
        <v>#NULL!</v>
      </c>
      <c r="CE64" s="28">
        <v>2</v>
      </c>
      <c r="CF64" s="29" t="e">
        <v>#NULL!</v>
      </c>
      <c r="CG64" s="29" t="e">
        <v>#NULL!</v>
      </c>
      <c r="CI64" s="29" t="e">
        <v>#NULL!</v>
      </c>
      <c r="CJ64" s="29" t="e">
        <v>#NULL!</v>
      </c>
      <c r="CK64" s="29" t="e">
        <v>#NULL!</v>
      </c>
      <c r="CL64" s="29" t="e">
        <v>#NULL!</v>
      </c>
      <c r="CN64" s="29" t="e">
        <v>#NULL!</v>
      </c>
      <c r="CO64" s="29" t="e">
        <v>#NULL!</v>
      </c>
      <c r="CP64" s="29" t="e">
        <v>#NULL!</v>
      </c>
      <c r="CQ64" s="28">
        <v>2</v>
      </c>
      <c r="CR64" s="29" t="e">
        <v>#NULL!</v>
      </c>
      <c r="CS64" s="28">
        <v>10</v>
      </c>
      <c r="CT64" s="28">
        <v>10</v>
      </c>
      <c r="CU64" s="28">
        <v>10</v>
      </c>
      <c r="CV64" s="28">
        <v>10</v>
      </c>
      <c r="CW64" s="28">
        <v>10</v>
      </c>
      <c r="CX64" s="28">
        <v>10</v>
      </c>
      <c r="CY64" s="28">
        <v>10</v>
      </c>
      <c r="DA64" s="29" t="e">
        <v>#NULL!</v>
      </c>
      <c r="DB64" s="29" t="e">
        <v>#NULL!</v>
      </c>
      <c r="DC64" s="28">
        <v>10</v>
      </c>
      <c r="DD64" s="29" t="e">
        <v>#NULL!</v>
      </c>
      <c r="DE64" s="29" t="e">
        <v>#NULL!</v>
      </c>
      <c r="DF64" s="29" t="e">
        <v>#NULL!</v>
      </c>
      <c r="DG64" s="29" t="e">
        <v>#NULL!</v>
      </c>
      <c r="DH64" s="29" t="e">
        <v>#NULL!</v>
      </c>
      <c r="DI64" s="29" t="e">
        <v>#NULL!</v>
      </c>
      <c r="DJ64" s="29" t="e">
        <v>#NULL!</v>
      </c>
      <c r="DK64" s="29" t="e">
        <v>#NULL!</v>
      </c>
      <c r="DL64" s="29" t="e">
        <v>#NULL!</v>
      </c>
      <c r="DN64" s="28">
        <v>1</v>
      </c>
      <c r="DP64" s="29" t="e">
        <v>#NULL!</v>
      </c>
      <c r="DQ64" s="29" t="e">
        <v>#NULL!</v>
      </c>
      <c r="DR64" s="29" t="e">
        <v>#NULL!</v>
      </c>
      <c r="DT64" s="29" t="e">
        <v>#NULL!</v>
      </c>
      <c r="DU64" s="29" t="e">
        <v>#NULL!</v>
      </c>
      <c r="DV64" s="29" t="e">
        <v>#NULL!</v>
      </c>
      <c r="DW64" s="28">
        <v>3</v>
      </c>
      <c r="DX64" s="28">
        <v>3</v>
      </c>
      <c r="DZ64" s="29" t="e">
        <v>#NULL!</v>
      </c>
      <c r="EA64" s="29" t="e">
        <v>#NULL!</v>
      </c>
      <c r="EI64" s="29" t="e">
        <v>#NULL!</v>
      </c>
      <c r="EJ64" s="29" t="e">
        <v>#NULL!</v>
      </c>
      <c r="EK64" s="29" t="e">
        <v>#NULL!</v>
      </c>
      <c r="EL64" s="29" t="e">
        <v>#NULL!</v>
      </c>
      <c r="EM64" s="28">
        <v>10</v>
      </c>
      <c r="EN64" s="28">
        <v>1</v>
      </c>
      <c r="EP64" s="28">
        <v>5</v>
      </c>
      <c r="EQ64" s="28">
        <v>3</v>
      </c>
      <c r="ER64" s="28">
        <v>2</v>
      </c>
      <c r="ES64" s="28">
        <v>78753</v>
      </c>
      <c r="ET64" s="28">
        <v>4</v>
      </c>
      <c r="EU64" s="28">
        <v>3</v>
      </c>
      <c r="EV64" s="28">
        <v>8</v>
      </c>
      <c r="EW64" s="28">
        <v>5</v>
      </c>
      <c r="EX64" s="28">
        <v>2</v>
      </c>
      <c r="EY64" t="s">
        <v>881</v>
      </c>
      <c r="EZ64" t="s">
        <v>882</v>
      </c>
      <c r="FB64" t="s">
        <v>883</v>
      </c>
      <c r="FC64" t="s">
        <v>884</v>
      </c>
      <c r="FD64" s="29" t="e">
        <v>#NULL!</v>
      </c>
      <c r="FE64" s="29" t="e">
        <v>#NULL!</v>
      </c>
      <c r="FF64" s="28">
        <v>3</v>
      </c>
      <c r="FH64" t="s">
        <v>885</v>
      </c>
      <c r="FI64" t="s">
        <v>886</v>
      </c>
    </row>
    <row r="65" spans="1:165" x14ac:dyDescent="0.15">
      <c r="A65" s="28">
        <v>398</v>
      </c>
      <c r="B65" s="28">
        <v>1</v>
      </c>
      <c r="C65" s="28">
        <v>2</v>
      </c>
      <c r="D65" s="28">
        <v>1</v>
      </c>
      <c r="E65" s="29" t="e">
        <v>#NULL!</v>
      </c>
      <c r="F65" s="28">
        <v>2</v>
      </c>
      <c r="G65" s="28">
        <v>2</v>
      </c>
      <c r="H65" s="28">
        <v>2</v>
      </c>
      <c r="J65" s="28">
        <v>1</v>
      </c>
      <c r="K65" s="28">
        <v>38</v>
      </c>
      <c r="N65" t="s">
        <v>887</v>
      </c>
      <c r="P65" s="29" t="e">
        <v>#NULL!</v>
      </c>
      <c r="Q65" s="29" t="e">
        <v>#NULL!</v>
      </c>
      <c r="R65" s="29" t="e">
        <v>#NULL!</v>
      </c>
      <c r="S65" s="29" t="e">
        <v>#NULL!</v>
      </c>
      <c r="T65" s="28">
        <v>10</v>
      </c>
      <c r="U65" s="28">
        <v>10</v>
      </c>
      <c r="V65" s="28">
        <v>10</v>
      </c>
      <c r="W65" s="28">
        <v>10</v>
      </c>
      <c r="Y65" s="29" t="e">
        <v>#NULL!</v>
      </c>
      <c r="Z65" s="29" t="e">
        <v>#NULL!</v>
      </c>
      <c r="AA65" s="29" t="e">
        <v>#NULL!</v>
      </c>
      <c r="AB65" s="29" t="e">
        <v>#NULL!</v>
      </c>
      <c r="AC65" t="s">
        <v>248</v>
      </c>
      <c r="AD65" s="29" t="e">
        <v>#NULL!</v>
      </c>
      <c r="AE65" s="29" t="e">
        <v>#NULL!</v>
      </c>
      <c r="AF65" s="29" t="e">
        <v>#NULL!</v>
      </c>
      <c r="AG65" s="29" t="e">
        <v>#NULL!</v>
      </c>
      <c r="AI65" s="29" t="e">
        <v>#NULL!</v>
      </c>
      <c r="AJ65" s="29" t="e">
        <v>#NULL!</v>
      </c>
      <c r="AK65" s="29" t="e">
        <v>#NULL!</v>
      </c>
      <c r="AL65" s="29" t="e">
        <v>#NULL!</v>
      </c>
      <c r="AM65" t="s">
        <v>248</v>
      </c>
      <c r="AN65" s="29" t="e">
        <v>#NULL!</v>
      </c>
      <c r="AO65" s="29" t="e">
        <v>#NULL!</v>
      </c>
      <c r="AP65" s="29" t="e">
        <v>#NULL!</v>
      </c>
      <c r="AQ65" s="29" t="e">
        <v>#NULL!</v>
      </c>
      <c r="AS65" s="29" t="e">
        <v>#NULL!</v>
      </c>
      <c r="AT65" s="29" t="e">
        <v>#NULL!</v>
      </c>
      <c r="AU65" s="29" t="e">
        <v>#NULL!</v>
      </c>
      <c r="AV65" s="29" t="e">
        <v>#NULL!</v>
      </c>
      <c r="AW65" t="s">
        <v>248</v>
      </c>
      <c r="AX65" s="29" t="e">
        <v>#NULL!</v>
      </c>
      <c r="AY65" s="29" t="e">
        <v>#NULL!</v>
      </c>
      <c r="AZ65" s="29" t="e">
        <v>#NULL!</v>
      </c>
      <c r="BA65" s="29" t="e">
        <v>#NULL!</v>
      </c>
      <c r="BC65" s="29" t="e">
        <v>#NULL!</v>
      </c>
      <c r="BD65" s="29" t="e">
        <v>#NULL!</v>
      </c>
      <c r="BE65" s="29" t="e">
        <v>#NULL!</v>
      </c>
      <c r="BF65" s="29" t="e">
        <v>#NULL!</v>
      </c>
      <c r="BG65" t="s">
        <v>248</v>
      </c>
      <c r="BH65" s="29" t="e">
        <v>#NULL!</v>
      </c>
      <c r="BI65" s="29" t="e">
        <v>#NULL!</v>
      </c>
      <c r="BJ65" s="29" t="e">
        <v>#NULL!</v>
      </c>
      <c r="BK65" s="29" t="e">
        <v>#NULL!</v>
      </c>
      <c r="BL65" s="28">
        <v>1</v>
      </c>
      <c r="BM65" s="29" t="e">
        <v>#NULL!</v>
      </c>
      <c r="BO65" s="29" t="e">
        <v>#NULL!</v>
      </c>
      <c r="BP65" s="29" t="e">
        <v>#NULL!</v>
      </c>
      <c r="BQ65" s="29" t="e">
        <v>#NULL!</v>
      </c>
      <c r="BR65" s="29" t="e">
        <v>#NULL!</v>
      </c>
      <c r="BS65" s="29" t="e">
        <v>#NULL!</v>
      </c>
      <c r="BU65" s="29" t="e">
        <v>#NULL!</v>
      </c>
      <c r="BV65" s="29" t="e">
        <v>#NULL!</v>
      </c>
      <c r="BW65" s="29" t="e">
        <v>#NULL!</v>
      </c>
      <c r="BX65" s="29" t="e">
        <v>#NULL!</v>
      </c>
      <c r="BZ65" s="29" t="e">
        <v>#NULL!</v>
      </c>
      <c r="CA65" s="29" t="e">
        <v>#NULL!</v>
      </c>
      <c r="CB65" s="29" t="e">
        <v>#NULL!</v>
      </c>
      <c r="CC65" s="28">
        <v>2</v>
      </c>
      <c r="CD65" s="29" t="e">
        <v>#NULL!</v>
      </c>
      <c r="CE65" s="28">
        <v>2</v>
      </c>
      <c r="CF65" s="29" t="e">
        <v>#NULL!</v>
      </c>
      <c r="CG65" s="29" t="e">
        <v>#NULL!</v>
      </c>
      <c r="CI65" s="29" t="e">
        <v>#NULL!</v>
      </c>
      <c r="CJ65" s="29" t="e">
        <v>#NULL!</v>
      </c>
      <c r="CK65" s="29" t="e">
        <v>#NULL!</v>
      </c>
      <c r="CL65" s="29" t="e">
        <v>#NULL!</v>
      </c>
      <c r="CN65" s="29" t="e">
        <v>#NULL!</v>
      </c>
      <c r="CO65" s="29" t="e">
        <v>#NULL!</v>
      </c>
      <c r="CP65" s="29" t="e">
        <v>#NULL!</v>
      </c>
      <c r="CQ65" s="28">
        <v>2</v>
      </c>
      <c r="CR65" s="29" t="e">
        <v>#NULL!</v>
      </c>
      <c r="CS65" s="28">
        <v>10</v>
      </c>
      <c r="CT65" s="28">
        <v>10</v>
      </c>
      <c r="CU65" s="28">
        <v>10</v>
      </c>
      <c r="CV65" s="28">
        <v>10</v>
      </c>
      <c r="CW65" s="28">
        <v>10</v>
      </c>
      <c r="CX65" s="28">
        <v>10</v>
      </c>
      <c r="CY65" s="28">
        <v>10</v>
      </c>
      <c r="DA65" s="29" t="e">
        <v>#NULL!</v>
      </c>
      <c r="DB65" s="29" t="e">
        <v>#NULL!</v>
      </c>
      <c r="DC65" s="28">
        <v>10</v>
      </c>
      <c r="DD65" s="29" t="e">
        <v>#NULL!</v>
      </c>
      <c r="DE65" s="29" t="e">
        <v>#NULL!</v>
      </c>
      <c r="DF65" s="29" t="e">
        <v>#NULL!</v>
      </c>
      <c r="DG65" s="29" t="e">
        <v>#NULL!</v>
      </c>
      <c r="DH65" s="29" t="e">
        <v>#NULL!</v>
      </c>
      <c r="DI65" s="29" t="e">
        <v>#NULL!</v>
      </c>
      <c r="DJ65" s="29" t="e">
        <v>#NULL!</v>
      </c>
      <c r="DK65" s="29" t="e">
        <v>#NULL!</v>
      </c>
      <c r="DL65" s="29" t="e">
        <v>#NULL!</v>
      </c>
      <c r="DN65" s="28">
        <v>1</v>
      </c>
      <c r="DP65" s="29" t="e">
        <v>#NULL!</v>
      </c>
      <c r="DQ65" s="29" t="e">
        <v>#NULL!</v>
      </c>
      <c r="DR65" s="29" t="e">
        <v>#NULL!</v>
      </c>
      <c r="DT65" s="29" t="e">
        <v>#NULL!</v>
      </c>
      <c r="DU65" s="29" t="e">
        <v>#NULL!</v>
      </c>
      <c r="DV65" s="29" t="e">
        <v>#NULL!</v>
      </c>
      <c r="DW65" s="28">
        <v>3</v>
      </c>
      <c r="DX65" s="28">
        <v>2</v>
      </c>
      <c r="DZ65" s="29" t="e">
        <v>#NULL!</v>
      </c>
      <c r="EA65" s="29" t="e">
        <v>#NULL!</v>
      </c>
      <c r="EI65" s="29" t="e">
        <v>#NULL!</v>
      </c>
      <c r="EJ65" s="29" t="e">
        <v>#NULL!</v>
      </c>
      <c r="EK65" s="29" t="e">
        <v>#NULL!</v>
      </c>
      <c r="EL65" s="29" t="e">
        <v>#NULL!</v>
      </c>
      <c r="EM65" s="28">
        <v>10</v>
      </c>
      <c r="EN65" s="28">
        <v>1</v>
      </c>
      <c r="EP65" s="28">
        <v>5</v>
      </c>
      <c r="EQ65" s="28">
        <v>2</v>
      </c>
      <c r="ER65" s="28">
        <v>1</v>
      </c>
      <c r="ES65" s="28">
        <v>78753</v>
      </c>
      <c r="ET65" s="28">
        <v>1</v>
      </c>
      <c r="EU65" s="28">
        <v>5</v>
      </c>
      <c r="EV65" s="28">
        <v>2</v>
      </c>
      <c r="EW65" s="28">
        <v>4</v>
      </c>
      <c r="EX65" s="28">
        <v>2</v>
      </c>
      <c r="EY65" t="s">
        <v>888</v>
      </c>
      <c r="EZ65" t="s">
        <v>889</v>
      </c>
      <c r="FB65" t="s">
        <v>890</v>
      </c>
      <c r="FC65" t="s">
        <v>891</v>
      </c>
      <c r="FD65" s="29" t="e">
        <v>#NULL!</v>
      </c>
      <c r="FE65" s="29" t="e">
        <v>#NULL!</v>
      </c>
      <c r="FF65" s="28">
        <v>3</v>
      </c>
      <c r="FH65" t="s">
        <v>892</v>
      </c>
      <c r="FI65" t="s">
        <v>893</v>
      </c>
    </row>
    <row r="66" spans="1:165" x14ac:dyDescent="0.15">
      <c r="A66" s="28">
        <v>405</v>
      </c>
      <c r="B66" s="28">
        <v>1</v>
      </c>
      <c r="C66" s="28">
        <v>2</v>
      </c>
      <c r="D66" s="28">
        <v>1</v>
      </c>
      <c r="E66" s="29" t="e">
        <v>#NULL!</v>
      </c>
      <c r="F66" s="28">
        <v>2</v>
      </c>
      <c r="G66" s="28">
        <v>2</v>
      </c>
      <c r="H66" s="28">
        <v>5</v>
      </c>
      <c r="J66" s="28">
        <v>1</v>
      </c>
      <c r="K66" s="28">
        <v>19</v>
      </c>
      <c r="P66" s="29" t="e">
        <v>#NULL!</v>
      </c>
      <c r="Q66" s="29" t="e">
        <v>#NULL!</v>
      </c>
      <c r="R66" s="29" t="e">
        <v>#NULL!</v>
      </c>
      <c r="S66" s="29" t="e">
        <v>#NULL!</v>
      </c>
      <c r="T66" s="28">
        <v>6</v>
      </c>
      <c r="U66" s="28">
        <v>3</v>
      </c>
      <c r="V66" s="28">
        <v>1</v>
      </c>
      <c r="W66" s="28">
        <v>5</v>
      </c>
      <c r="Y66" s="29" t="e">
        <v>#NULL!</v>
      </c>
      <c r="Z66" s="29" t="e">
        <v>#NULL!</v>
      </c>
      <c r="AA66" s="29" t="e">
        <v>#NULL!</v>
      </c>
      <c r="AB66" s="29" t="e">
        <v>#NULL!</v>
      </c>
      <c r="AD66" s="29" t="e">
        <v>#NULL!</v>
      </c>
      <c r="AE66" s="29" t="e">
        <v>#NULL!</v>
      </c>
      <c r="AF66" s="29" t="e">
        <v>#NULL!</v>
      </c>
      <c r="AG66" s="29" t="e">
        <v>#NULL!</v>
      </c>
      <c r="AH66" t="s">
        <v>894</v>
      </c>
      <c r="AI66" s="28">
        <v>5</v>
      </c>
      <c r="AJ66" s="29" t="e">
        <v>#NULL!</v>
      </c>
      <c r="AK66" s="29" t="e">
        <v>#NULL!</v>
      </c>
      <c r="AL66" s="29" t="e">
        <v>#NULL!</v>
      </c>
      <c r="AN66" s="29" t="e">
        <v>#NULL!</v>
      </c>
      <c r="AO66" s="29" t="e">
        <v>#NULL!</v>
      </c>
      <c r="AP66" s="29" t="e">
        <v>#NULL!</v>
      </c>
      <c r="AQ66" s="29" t="e">
        <v>#NULL!</v>
      </c>
      <c r="AR66" t="s">
        <v>895</v>
      </c>
      <c r="AS66" s="28">
        <v>5</v>
      </c>
      <c r="AT66" s="29" t="e">
        <v>#NULL!</v>
      </c>
      <c r="AU66" s="29" t="e">
        <v>#NULL!</v>
      </c>
      <c r="AV66" s="29" t="e">
        <v>#NULL!</v>
      </c>
      <c r="AX66" s="29" t="e">
        <v>#NULL!</v>
      </c>
      <c r="AY66" s="29" t="e">
        <v>#NULL!</v>
      </c>
      <c r="AZ66" s="29" t="e">
        <v>#NULL!</v>
      </c>
      <c r="BA66" s="29" t="e">
        <v>#NULL!</v>
      </c>
      <c r="BC66" s="29" t="e">
        <v>#NULL!</v>
      </c>
      <c r="BD66" s="29" t="e">
        <v>#NULL!</v>
      </c>
      <c r="BE66" s="29" t="e">
        <v>#NULL!</v>
      </c>
      <c r="BF66" s="29" t="e">
        <v>#NULL!</v>
      </c>
      <c r="BH66" s="29" t="e">
        <v>#NULL!</v>
      </c>
      <c r="BI66" s="29" t="e">
        <v>#NULL!</v>
      </c>
      <c r="BJ66" s="29" t="e">
        <v>#NULL!</v>
      </c>
      <c r="BK66" s="29" t="e">
        <v>#NULL!</v>
      </c>
      <c r="BL66" s="28">
        <v>2</v>
      </c>
      <c r="BM66" s="28">
        <v>5</v>
      </c>
      <c r="BN66" t="s">
        <v>896</v>
      </c>
      <c r="BO66" s="28">
        <v>6</v>
      </c>
      <c r="BP66" s="29" t="e">
        <v>#NULL!</v>
      </c>
      <c r="BQ66" s="29" t="e">
        <v>#NULL!</v>
      </c>
      <c r="BR66" s="29" t="e">
        <v>#NULL!</v>
      </c>
      <c r="BS66" s="28">
        <v>10</v>
      </c>
      <c r="BT66" t="s">
        <v>359</v>
      </c>
      <c r="BU66" s="28">
        <v>97</v>
      </c>
      <c r="BV66" s="29" t="e">
        <v>#NULL!</v>
      </c>
      <c r="BW66" s="29" t="e">
        <v>#NULL!</v>
      </c>
      <c r="BX66" s="29" t="e">
        <v>#NULL!</v>
      </c>
      <c r="BZ66" s="29" t="e">
        <v>#NULL!</v>
      </c>
      <c r="CA66" s="29" t="e">
        <v>#NULL!</v>
      </c>
      <c r="CB66" s="29" t="e">
        <v>#NULL!</v>
      </c>
      <c r="CC66" s="28">
        <v>2</v>
      </c>
      <c r="CD66" s="29" t="e">
        <v>#NULL!</v>
      </c>
      <c r="CE66" s="28">
        <v>2</v>
      </c>
      <c r="CF66" s="29" t="e">
        <v>#NULL!</v>
      </c>
      <c r="CG66" s="29" t="e">
        <v>#NULL!</v>
      </c>
      <c r="CI66" s="29" t="e">
        <v>#NULL!</v>
      </c>
      <c r="CJ66" s="29" t="e">
        <v>#NULL!</v>
      </c>
      <c r="CK66" s="29" t="e">
        <v>#NULL!</v>
      </c>
      <c r="CL66" s="29" t="e">
        <v>#NULL!</v>
      </c>
      <c r="CN66" s="29" t="e">
        <v>#NULL!</v>
      </c>
      <c r="CO66" s="29" t="e">
        <v>#NULL!</v>
      </c>
      <c r="CP66" s="29" t="e">
        <v>#NULL!</v>
      </c>
      <c r="CQ66" s="28">
        <v>2</v>
      </c>
      <c r="CR66" s="29" t="e">
        <v>#NULL!</v>
      </c>
      <c r="CS66" s="28">
        <v>1</v>
      </c>
      <c r="CT66" s="28">
        <v>1</v>
      </c>
      <c r="CU66" s="28">
        <v>2</v>
      </c>
      <c r="CV66" s="28">
        <v>1</v>
      </c>
      <c r="CW66" s="28">
        <v>1</v>
      </c>
      <c r="CX66" s="28">
        <v>7</v>
      </c>
      <c r="CY66" s="28">
        <v>1</v>
      </c>
      <c r="CZ66" t="s">
        <v>897</v>
      </c>
      <c r="DA66" s="28">
        <v>5</v>
      </c>
      <c r="DB66" s="29" t="e">
        <v>#NULL!</v>
      </c>
      <c r="DC66" s="28">
        <v>1</v>
      </c>
      <c r="DD66" s="28">
        <v>1</v>
      </c>
      <c r="DE66" s="28">
        <v>0</v>
      </c>
      <c r="DF66" s="28">
        <v>0</v>
      </c>
      <c r="DG66" s="28">
        <v>0</v>
      </c>
      <c r="DH66" s="28">
        <v>1</v>
      </c>
      <c r="DI66" s="28">
        <v>1</v>
      </c>
      <c r="DJ66" s="28">
        <v>0</v>
      </c>
      <c r="DK66" s="28">
        <v>0</v>
      </c>
      <c r="DL66" s="28">
        <v>0</v>
      </c>
      <c r="DN66" s="28">
        <v>2</v>
      </c>
      <c r="DO66" t="s">
        <v>898</v>
      </c>
      <c r="DP66" s="28">
        <v>3</v>
      </c>
      <c r="DQ66" s="29" t="e">
        <v>#NULL!</v>
      </c>
      <c r="DR66" s="29" t="e">
        <v>#NULL!</v>
      </c>
      <c r="DT66" s="29" t="e">
        <v>#NULL!</v>
      </c>
      <c r="DU66" s="29" t="e">
        <v>#NULL!</v>
      </c>
      <c r="DV66" s="29" t="e">
        <v>#NULL!</v>
      </c>
      <c r="DW66" s="28">
        <v>5</v>
      </c>
      <c r="DX66" s="28">
        <v>1</v>
      </c>
      <c r="DY66" t="s">
        <v>899</v>
      </c>
      <c r="DZ66" s="28">
        <v>3</v>
      </c>
      <c r="EA66" s="29" t="e">
        <v>#NULL!</v>
      </c>
      <c r="EI66" s="29" t="e">
        <v>#NULL!</v>
      </c>
      <c r="EJ66" s="29" t="e">
        <v>#NULL!</v>
      </c>
      <c r="EK66" s="29" t="e">
        <v>#NULL!</v>
      </c>
      <c r="EL66" s="29" t="e">
        <v>#NULL!</v>
      </c>
      <c r="EM66" s="28">
        <v>10</v>
      </c>
      <c r="EN66" s="28">
        <v>3</v>
      </c>
      <c r="EP66" s="28">
        <v>5</v>
      </c>
      <c r="EQ66" s="28">
        <v>4</v>
      </c>
      <c r="ER66" s="28">
        <v>2</v>
      </c>
      <c r="ES66" s="28">
        <v>78702</v>
      </c>
      <c r="ET66" s="28">
        <v>1</v>
      </c>
      <c r="EU66" s="28">
        <v>1</v>
      </c>
      <c r="EV66" s="28">
        <v>1</v>
      </c>
      <c r="EW66" s="28">
        <v>5</v>
      </c>
      <c r="EX66" s="28">
        <v>2</v>
      </c>
      <c r="EY66" t="s">
        <v>900</v>
      </c>
      <c r="EZ66" t="s">
        <v>901</v>
      </c>
      <c r="FB66" t="s">
        <v>902</v>
      </c>
      <c r="FC66" t="s">
        <v>903</v>
      </c>
      <c r="FD66" s="29" t="e">
        <v>#NULL!</v>
      </c>
      <c r="FE66" s="29" t="e">
        <v>#NULL!</v>
      </c>
      <c r="FF66" s="28">
        <v>3</v>
      </c>
      <c r="FH66" t="s">
        <v>904</v>
      </c>
      <c r="FI66" t="s">
        <v>905</v>
      </c>
    </row>
    <row r="67" spans="1:165" x14ac:dyDescent="0.15">
      <c r="A67" s="28">
        <v>407</v>
      </c>
      <c r="B67" s="28">
        <v>1</v>
      </c>
      <c r="C67" s="28">
        <v>2</v>
      </c>
      <c r="D67" s="28">
        <v>1</v>
      </c>
      <c r="E67" s="29" t="e">
        <v>#NULL!</v>
      </c>
      <c r="F67" s="28">
        <v>2</v>
      </c>
      <c r="G67" s="28">
        <v>2</v>
      </c>
      <c r="H67" s="28">
        <v>2</v>
      </c>
      <c r="J67" s="28">
        <v>2</v>
      </c>
      <c r="K67" s="28">
        <v>15</v>
      </c>
      <c r="M67" t="s">
        <v>906</v>
      </c>
      <c r="O67" t="s">
        <v>907</v>
      </c>
      <c r="P67" s="28">
        <v>1</v>
      </c>
      <c r="Q67" s="29" t="e">
        <v>#NULL!</v>
      </c>
      <c r="R67" s="29" t="e">
        <v>#NULL!</v>
      </c>
      <c r="S67" s="29" t="e">
        <v>#NULL!</v>
      </c>
      <c r="T67" s="28">
        <v>2</v>
      </c>
      <c r="U67" s="28">
        <v>1</v>
      </c>
      <c r="V67" s="28">
        <v>1</v>
      </c>
      <c r="W67" s="28">
        <v>1</v>
      </c>
      <c r="X67" t="s">
        <v>908</v>
      </c>
      <c r="Y67" s="29" t="e">
        <v>#NULL!</v>
      </c>
      <c r="Z67" s="29" t="e">
        <v>#NULL!</v>
      </c>
      <c r="AA67" s="29" t="e">
        <v>#NULL!</v>
      </c>
      <c r="AB67" s="29" t="e">
        <v>#NULL!</v>
      </c>
      <c r="AD67" s="29" t="e">
        <v>#NULL!</v>
      </c>
      <c r="AE67" s="29" t="e">
        <v>#NULL!</v>
      </c>
      <c r="AF67" s="29" t="e">
        <v>#NULL!</v>
      </c>
      <c r="AG67" s="29" t="e">
        <v>#NULL!</v>
      </c>
      <c r="AH67" t="s">
        <v>908</v>
      </c>
      <c r="AI67" s="29" t="e">
        <v>#NULL!</v>
      </c>
      <c r="AJ67" s="29" t="e">
        <v>#NULL!</v>
      </c>
      <c r="AK67" s="29" t="e">
        <v>#NULL!</v>
      </c>
      <c r="AL67" s="29" t="e">
        <v>#NULL!</v>
      </c>
      <c r="AN67" s="29" t="e">
        <v>#NULL!</v>
      </c>
      <c r="AO67" s="29" t="e">
        <v>#NULL!</v>
      </c>
      <c r="AP67" s="29" t="e">
        <v>#NULL!</v>
      </c>
      <c r="AQ67" s="29" t="e">
        <v>#NULL!</v>
      </c>
      <c r="AR67" t="s">
        <v>627</v>
      </c>
      <c r="AS67" s="29" t="e">
        <v>#NULL!</v>
      </c>
      <c r="AT67" s="29" t="e">
        <v>#NULL!</v>
      </c>
      <c r="AU67" s="29" t="e">
        <v>#NULL!</v>
      </c>
      <c r="AV67" s="29" t="e">
        <v>#NULL!</v>
      </c>
      <c r="AX67" s="29" t="e">
        <v>#NULL!</v>
      </c>
      <c r="AY67" s="29" t="e">
        <v>#NULL!</v>
      </c>
      <c r="AZ67" s="29" t="e">
        <v>#NULL!</v>
      </c>
      <c r="BA67" s="29" t="e">
        <v>#NULL!</v>
      </c>
      <c r="BB67" t="s">
        <v>908</v>
      </c>
      <c r="BC67" s="29" t="e">
        <v>#NULL!</v>
      </c>
      <c r="BD67" s="29" t="e">
        <v>#NULL!</v>
      </c>
      <c r="BE67" s="29" t="e">
        <v>#NULL!</v>
      </c>
      <c r="BF67" s="29" t="e">
        <v>#NULL!</v>
      </c>
      <c r="BH67" s="29" t="e">
        <v>#NULL!</v>
      </c>
      <c r="BI67" s="29" t="e">
        <v>#NULL!</v>
      </c>
      <c r="BJ67" s="29" t="e">
        <v>#NULL!</v>
      </c>
      <c r="BK67" s="29" t="e">
        <v>#NULL!</v>
      </c>
      <c r="BL67" s="28">
        <v>2</v>
      </c>
      <c r="BM67" s="28">
        <v>10</v>
      </c>
      <c r="BN67" t="s">
        <v>588</v>
      </c>
      <c r="BO67" s="28">
        <v>98</v>
      </c>
      <c r="BP67" s="29" t="e">
        <v>#NULL!</v>
      </c>
      <c r="BQ67" s="29" t="e">
        <v>#NULL!</v>
      </c>
      <c r="BR67" s="29" t="e">
        <v>#NULL!</v>
      </c>
      <c r="BS67" s="28">
        <v>6</v>
      </c>
      <c r="BT67" t="s">
        <v>909</v>
      </c>
      <c r="BU67" s="28">
        <v>21</v>
      </c>
      <c r="BV67" s="29" t="e">
        <v>#NULL!</v>
      </c>
      <c r="BW67" s="29" t="e">
        <v>#NULL!</v>
      </c>
      <c r="BX67" s="29" t="e">
        <v>#NULL!</v>
      </c>
      <c r="BZ67" s="29" t="e">
        <v>#NULL!</v>
      </c>
      <c r="CA67" s="29" t="e">
        <v>#NULL!</v>
      </c>
      <c r="CB67" s="29" t="e">
        <v>#NULL!</v>
      </c>
      <c r="CC67" s="28">
        <v>1</v>
      </c>
      <c r="CD67" s="28">
        <v>6</v>
      </c>
      <c r="CE67" s="28">
        <v>2</v>
      </c>
      <c r="CF67" s="29" t="e">
        <v>#NULL!</v>
      </c>
      <c r="CG67" s="29" t="e">
        <v>#NULL!</v>
      </c>
      <c r="CI67" s="29" t="e">
        <v>#NULL!</v>
      </c>
      <c r="CJ67" s="29" t="e">
        <v>#NULL!</v>
      </c>
      <c r="CK67" s="29" t="e">
        <v>#NULL!</v>
      </c>
      <c r="CL67" s="29" t="e">
        <v>#NULL!</v>
      </c>
      <c r="CN67" s="29" t="e">
        <v>#NULL!</v>
      </c>
      <c r="CO67" s="29" t="e">
        <v>#NULL!</v>
      </c>
      <c r="CP67" s="29" t="e">
        <v>#NULL!</v>
      </c>
      <c r="CQ67" s="28">
        <v>2</v>
      </c>
      <c r="CR67" s="29" t="e">
        <v>#NULL!</v>
      </c>
      <c r="CS67" s="28">
        <v>1</v>
      </c>
      <c r="CT67" s="28">
        <v>1</v>
      </c>
      <c r="CU67" s="28">
        <v>1</v>
      </c>
      <c r="CV67" s="28">
        <v>1</v>
      </c>
      <c r="CW67" s="28">
        <v>1</v>
      </c>
      <c r="CX67" s="28">
        <v>1</v>
      </c>
      <c r="CY67" s="28">
        <v>1</v>
      </c>
      <c r="CZ67" t="s">
        <v>910</v>
      </c>
      <c r="DA67" s="28">
        <v>2</v>
      </c>
      <c r="DB67" s="29" t="e">
        <v>#NULL!</v>
      </c>
      <c r="DC67" s="28">
        <v>1</v>
      </c>
      <c r="DD67" s="28">
        <v>1</v>
      </c>
      <c r="DE67" s="28">
        <v>1</v>
      </c>
      <c r="DF67" s="28">
        <v>0</v>
      </c>
      <c r="DG67" s="28">
        <v>0</v>
      </c>
      <c r="DH67" s="28">
        <v>0</v>
      </c>
      <c r="DI67" s="28">
        <v>1</v>
      </c>
      <c r="DJ67" s="28">
        <v>0</v>
      </c>
      <c r="DK67" s="28">
        <v>0</v>
      </c>
      <c r="DL67" s="28">
        <v>1</v>
      </c>
      <c r="DM67" t="s">
        <v>911</v>
      </c>
      <c r="DN67" s="28">
        <v>2</v>
      </c>
      <c r="DO67" t="s">
        <v>912</v>
      </c>
      <c r="DP67" s="28">
        <v>5</v>
      </c>
      <c r="DQ67" s="28">
        <v>9</v>
      </c>
      <c r="DR67" s="29" t="e">
        <v>#NULL!</v>
      </c>
      <c r="DT67" s="29" t="e">
        <v>#NULL!</v>
      </c>
      <c r="DU67" s="29" t="e">
        <v>#NULL!</v>
      </c>
      <c r="DV67" s="29" t="e">
        <v>#NULL!</v>
      </c>
      <c r="DW67" s="28">
        <v>1</v>
      </c>
      <c r="DX67" s="28">
        <v>3</v>
      </c>
      <c r="DZ67" s="29" t="e">
        <v>#NULL!</v>
      </c>
      <c r="EA67" s="29" t="e">
        <v>#NULL!</v>
      </c>
      <c r="EI67" s="29" t="e">
        <v>#NULL!</v>
      </c>
      <c r="EJ67" s="29" t="e">
        <v>#NULL!</v>
      </c>
      <c r="EK67" s="29" t="e">
        <v>#NULL!</v>
      </c>
      <c r="EL67" s="29" t="e">
        <v>#NULL!</v>
      </c>
      <c r="EM67" s="28">
        <v>7</v>
      </c>
      <c r="EN67" s="28">
        <v>7</v>
      </c>
      <c r="EP67" s="28">
        <v>1</v>
      </c>
      <c r="EQ67" s="28">
        <v>2</v>
      </c>
      <c r="ER67" s="28">
        <v>3</v>
      </c>
      <c r="ES67" s="28">
        <v>78745</v>
      </c>
      <c r="ET67" s="28">
        <v>7</v>
      </c>
      <c r="EU67" s="28">
        <v>6</v>
      </c>
      <c r="EV67" s="28">
        <v>8</v>
      </c>
      <c r="EW67" s="28">
        <v>5</v>
      </c>
      <c r="EX67" s="28">
        <v>2</v>
      </c>
      <c r="EY67" t="s">
        <v>900</v>
      </c>
      <c r="EZ67" t="s">
        <v>913</v>
      </c>
      <c r="FB67" t="s">
        <v>914</v>
      </c>
      <c r="FC67" t="s">
        <v>915</v>
      </c>
      <c r="FD67" s="29" t="e">
        <v>#NULL!</v>
      </c>
      <c r="FE67" s="29" t="e">
        <v>#NULL!</v>
      </c>
      <c r="FF67" s="28">
        <v>3</v>
      </c>
      <c r="FH67" t="s">
        <v>916</v>
      </c>
      <c r="FI67" t="s">
        <v>917</v>
      </c>
    </row>
    <row r="68" spans="1:165" x14ac:dyDescent="0.15">
      <c r="A68" s="28">
        <v>408</v>
      </c>
      <c r="B68" s="28">
        <v>1</v>
      </c>
      <c r="C68" s="28">
        <v>2</v>
      </c>
      <c r="D68" s="28">
        <v>1</v>
      </c>
      <c r="E68" s="29" t="e">
        <v>#NULL!</v>
      </c>
      <c r="F68" s="28">
        <v>2</v>
      </c>
      <c r="G68" s="28">
        <v>2</v>
      </c>
      <c r="H68" s="28">
        <v>2</v>
      </c>
      <c r="J68" s="28">
        <v>1</v>
      </c>
      <c r="K68" s="28">
        <v>38</v>
      </c>
      <c r="N68" t="s">
        <v>918</v>
      </c>
      <c r="P68" s="29" t="e">
        <v>#NULL!</v>
      </c>
      <c r="Q68" s="29" t="e">
        <v>#NULL!</v>
      </c>
      <c r="R68" s="29" t="e">
        <v>#NULL!</v>
      </c>
      <c r="S68" s="29" t="e">
        <v>#NULL!</v>
      </c>
      <c r="T68" s="28">
        <v>7</v>
      </c>
      <c r="U68" s="28">
        <v>8</v>
      </c>
      <c r="V68" s="28">
        <v>7</v>
      </c>
      <c r="W68" s="28">
        <v>8</v>
      </c>
      <c r="Y68" s="29" t="e">
        <v>#NULL!</v>
      </c>
      <c r="Z68" s="29" t="e">
        <v>#NULL!</v>
      </c>
      <c r="AA68" s="29" t="e">
        <v>#NULL!</v>
      </c>
      <c r="AB68" s="29" t="e">
        <v>#NULL!</v>
      </c>
      <c r="AD68" s="29" t="e">
        <v>#NULL!</v>
      </c>
      <c r="AE68" s="29" t="e">
        <v>#NULL!</v>
      </c>
      <c r="AF68" s="29" t="e">
        <v>#NULL!</v>
      </c>
      <c r="AG68" s="29" t="e">
        <v>#NULL!</v>
      </c>
      <c r="AI68" s="29" t="e">
        <v>#NULL!</v>
      </c>
      <c r="AJ68" s="29" t="e">
        <v>#NULL!</v>
      </c>
      <c r="AK68" s="29" t="e">
        <v>#NULL!</v>
      </c>
      <c r="AL68" s="29" t="e">
        <v>#NULL!</v>
      </c>
      <c r="AM68" t="s">
        <v>919</v>
      </c>
      <c r="AN68" s="28">
        <v>99</v>
      </c>
      <c r="AO68" s="29" t="e">
        <v>#NULL!</v>
      </c>
      <c r="AP68" s="29" t="e">
        <v>#NULL!</v>
      </c>
      <c r="AQ68" s="29" t="e">
        <v>#NULL!</v>
      </c>
      <c r="AS68" s="29" t="e">
        <v>#NULL!</v>
      </c>
      <c r="AT68" s="29" t="e">
        <v>#NULL!</v>
      </c>
      <c r="AU68" s="29" t="e">
        <v>#NULL!</v>
      </c>
      <c r="AV68" s="29" t="e">
        <v>#NULL!</v>
      </c>
      <c r="AX68" s="29" t="e">
        <v>#NULL!</v>
      </c>
      <c r="AY68" s="29" t="e">
        <v>#NULL!</v>
      </c>
      <c r="AZ68" s="29" t="e">
        <v>#NULL!</v>
      </c>
      <c r="BA68" s="29" t="e">
        <v>#NULL!</v>
      </c>
      <c r="BC68" s="29" t="e">
        <v>#NULL!</v>
      </c>
      <c r="BD68" s="29" t="e">
        <v>#NULL!</v>
      </c>
      <c r="BE68" s="29" t="e">
        <v>#NULL!</v>
      </c>
      <c r="BF68" s="29" t="e">
        <v>#NULL!</v>
      </c>
      <c r="BG68" t="s">
        <v>920</v>
      </c>
      <c r="BH68" s="28">
        <v>2</v>
      </c>
      <c r="BI68" s="29" t="e">
        <v>#NULL!</v>
      </c>
      <c r="BJ68" s="29" t="e">
        <v>#NULL!</v>
      </c>
      <c r="BK68" s="29" t="e">
        <v>#NULL!</v>
      </c>
      <c r="BL68" s="28">
        <v>2</v>
      </c>
      <c r="BM68" s="28">
        <v>8</v>
      </c>
      <c r="BN68" t="s">
        <v>921</v>
      </c>
      <c r="BO68" s="28">
        <v>98</v>
      </c>
      <c r="BP68" s="29" t="e">
        <v>#NULL!</v>
      </c>
      <c r="BQ68" s="29" t="e">
        <v>#NULL!</v>
      </c>
      <c r="BR68" s="29" t="e">
        <v>#NULL!</v>
      </c>
      <c r="BS68" s="28">
        <v>11</v>
      </c>
      <c r="BT68" t="s">
        <v>922</v>
      </c>
      <c r="BU68" s="28">
        <v>17</v>
      </c>
      <c r="BV68" s="29" t="e">
        <v>#NULL!</v>
      </c>
      <c r="BW68" s="29" t="e">
        <v>#NULL!</v>
      </c>
      <c r="BX68" s="29" t="e">
        <v>#NULL!</v>
      </c>
      <c r="BZ68" s="29" t="e">
        <v>#NULL!</v>
      </c>
      <c r="CA68" s="29" t="e">
        <v>#NULL!</v>
      </c>
      <c r="CB68" s="29" t="e">
        <v>#NULL!</v>
      </c>
      <c r="CC68" s="28">
        <v>3</v>
      </c>
      <c r="CD68" s="29" t="e">
        <v>#NULL!</v>
      </c>
      <c r="CE68" s="28">
        <v>2</v>
      </c>
      <c r="CF68" s="29" t="e">
        <v>#NULL!</v>
      </c>
      <c r="CG68" s="29" t="e">
        <v>#NULL!</v>
      </c>
      <c r="CI68" s="29" t="e">
        <v>#NULL!</v>
      </c>
      <c r="CJ68" s="29" t="e">
        <v>#NULL!</v>
      </c>
      <c r="CK68" s="29" t="e">
        <v>#NULL!</v>
      </c>
      <c r="CL68" s="29" t="e">
        <v>#NULL!</v>
      </c>
      <c r="CN68" s="29" t="e">
        <v>#NULL!</v>
      </c>
      <c r="CO68" s="29" t="e">
        <v>#NULL!</v>
      </c>
      <c r="CP68" s="29" t="e">
        <v>#NULL!</v>
      </c>
      <c r="CQ68" s="28">
        <v>2</v>
      </c>
      <c r="CR68" s="29" t="e">
        <v>#NULL!</v>
      </c>
      <c r="CS68" s="28">
        <v>9</v>
      </c>
      <c r="CT68" s="28">
        <v>8</v>
      </c>
      <c r="CU68" s="28">
        <v>8</v>
      </c>
      <c r="CV68" s="28">
        <v>8</v>
      </c>
      <c r="CW68" s="28">
        <v>8</v>
      </c>
      <c r="CX68" s="28">
        <v>8</v>
      </c>
      <c r="CY68" s="28">
        <v>8</v>
      </c>
      <c r="DA68" s="29" t="e">
        <v>#NULL!</v>
      </c>
      <c r="DB68" s="29" t="e">
        <v>#NULL!</v>
      </c>
      <c r="DC68" s="28">
        <v>8</v>
      </c>
      <c r="DD68" s="29" t="e">
        <v>#NULL!</v>
      </c>
      <c r="DE68" s="29" t="e">
        <v>#NULL!</v>
      </c>
      <c r="DF68" s="29" t="e">
        <v>#NULL!</v>
      </c>
      <c r="DG68" s="29" t="e">
        <v>#NULL!</v>
      </c>
      <c r="DH68" s="29" t="e">
        <v>#NULL!</v>
      </c>
      <c r="DI68" s="29" t="e">
        <v>#NULL!</v>
      </c>
      <c r="DJ68" s="29" t="e">
        <v>#NULL!</v>
      </c>
      <c r="DK68" s="29" t="e">
        <v>#NULL!</v>
      </c>
      <c r="DL68" s="29" t="e">
        <v>#NULL!</v>
      </c>
      <c r="DN68" s="28">
        <v>1</v>
      </c>
      <c r="DP68" s="29" t="e">
        <v>#NULL!</v>
      </c>
      <c r="DQ68" s="29" t="e">
        <v>#NULL!</v>
      </c>
      <c r="DR68" s="29" t="e">
        <v>#NULL!</v>
      </c>
      <c r="DT68" s="29" t="e">
        <v>#NULL!</v>
      </c>
      <c r="DU68" s="29" t="e">
        <v>#NULL!</v>
      </c>
      <c r="DV68" s="29" t="e">
        <v>#NULL!</v>
      </c>
      <c r="DW68" s="28">
        <v>2</v>
      </c>
      <c r="DX68" s="28">
        <v>3</v>
      </c>
      <c r="DZ68" s="29" t="e">
        <v>#NULL!</v>
      </c>
      <c r="EA68" s="29" t="e">
        <v>#NULL!</v>
      </c>
      <c r="EI68" s="29" t="e">
        <v>#NULL!</v>
      </c>
      <c r="EJ68" s="29" t="e">
        <v>#NULL!</v>
      </c>
      <c r="EK68" s="29" t="e">
        <v>#NULL!</v>
      </c>
      <c r="EL68" s="29" t="e">
        <v>#NULL!</v>
      </c>
      <c r="EM68" s="28">
        <v>10</v>
      </c>
      <c r="EN68" s="28">
        <v>1</v>
      </c>
      <c r="EP68" s="28">
        <v>5</v>
      </c>
      <c r="EQ68" s="28">
        <v>4</v>
      </c>
      <c r="ER68" s="28">
        <v>2</v>
      </c>
      <c r="ES68" s="28">
        <v>78704</v>
      </c>
      <c r="ET68" s="28">
        <v>1</v>
      </c>
      <c r="EU68" s="28">
        <v>5</v>
      </c>
      <c r="EV68" s="28">
        <v>6</v>
      </c>
      <c r="EW68" s="28">
        <v>4</v>
      </c>
      <c r="EX68" s="28">
        <v>1</v>
      </c>
      <c r="EY68" t="s">
        <v>923</v>
      </c>
      <c r="EZ68" t="s">
        <v>924</v>
      </c>
      <c r="FB68" t="s">
        <v>925</v>
      </c>
      <c r="FC68" t="s">
        <v>926</v>
      </c>
      <c r="FD68" s="29" t="e">
        <v>#NULL!</v>
      </c>
      <c r="FE68" s="29" t="e">
        <v>#NULL!</v>
      </c>
      <c r="FF68" s="28">
        <v>1</v>
      </c>
      <c r="FH68" t="s">
        <v>927</v>
      </c>
      <c r="FI68" t="s">
        <v>928</v>
      </c>
    </row>
    <row r="69" spans="1:165" x14ac:dyDescent="0.15">
      <c r="A69" s="28">
        <v>411</v>
      </c>
      <c r="B69" s="28">
        <v>1</v>
      </c>
      <c r="C69" s="28">
        <v>2</v>
      </c>
      <c r="D69" s="28">
        <v>1</v>
      </c>
      <c r="E69" s="29" t="e">
        <v>#NULL!</v>
      </c>
      <c r="F69" s="28">
        <v>2</v>
      </c>
      <c r="G69" s="28">
        <v>2</v>
      </c>
      <c r="H69" s="28">
        <v>1</v>
      </c>
      <c r="J69" s="28">
        <v>1</v>
      </c>
      <c r="K69" s="28">
        <v>20</v>
      </c>
      <c r="P69" s="29" t="e">
        <v>#NULL!</v>
      </c>
      <c r="Q69" s="29" t="e">
        <v>#NULL!</v>
      </c>
      <c r="R69" s="29" t="e">
        <v>#NULL!</v>
      </c>
      <c r="S69" s="29" t="e">
        <v>#NULL!</v>
      </c>
      <c r="T69" s="28">
        <v>4</v>
      </c>
      <c r="U69" s="28">
        <v>11</v>
      </c>
      <c r="V69" s="28">
        <v>3</v>
      </c>
      <c r="W69" s="28">
        <v>6</v>
      </c>
      <c r="Y69" s="29" t="e">
        <v>#NULL!</v>
      </c>
      <c r="Z69" s="29" t="e">
        <v>#NULL!</v>
      </c>
      <c r="AA69" s="29" t="e">
        <v>#NULL!</v>
      </c>
      <c r="AB69" s="29" t="e">
        <v>#NULL!</v>
      </c>
      <c r="AD69" s="29" t="e">
        <v>#NULL!</v>
      </c>
      <c r="AE69" s="29" t="e">
        <v>#NULL!</v>
      </c>
      <c r="AF69" s="29" t="e">
        <v>#NULL!</v>
      </c>
      <c r="AG69" s="29" t="e">
        <v>#NULL!</v>
      </c>
      <c r="AI69" s="29" t="e">
        <v>#NULL!</v>
      </c>
      <c r="AJ69" s="29" t="e">
        <v>#NULL!</v>
      </c>
      <c r="AK69" s="29" t="e">
        <v>#NULL!</v>
      </c>
      <c r="AL69" s="29" t="e">
        <v>#NULL!</v>
      </c>
      <c r="AN69" s="29" t="e">
        <v>#NULL!</v>
      </c>
      <c r="AO69" s="29" t="e">
        <v>#NULL!</v>
      </c>
      <c r="AP69" s="29" t="e">
        <v>#NULL!</v>
      </c>
      <c r="AQ69" s="29" t="e">
        <v>#NULL!</v>
      </c>
      <c r="AR69" t="s">
        <v>929</v>
      </c>
      <c r="AS69" s="28">
        <v>4</v>
      </c>
      <c r="AT69" s="29" t="e">
        <v>#NULL!</v>
      </c>
      <c r="AU69" s="29" t="e">
        <v>#NULL!</v>
      </c>
      <c r="AV69" s="29" t="e">
        <v>#NULL!</v>
      </c>
      <c r="AX69" s="29" t="e">
        <v>#NULL!</v>
      </c>
      <c r="AY69" s="29" t="e">
        <v>#NULL!</v>
      </c>
      <c r="AZ69" s="29" t="e">
        <v>#NULL!</v>
      </c>
      <c r="BA69" s="29" t="e">
        <v>#NULL!</v>
      </c>
      <c r="BC69" s="29" t="e">
        <v>#NULL!</v>
      </c>
      <c r="BD69" s="29" t="e">
        <v>#NULL!</v>
      </c>
      <c r="BE69" s="29" t="e">
        <v>#NULL!</v>
      </c>
      <c r="BF69" s="29" t="e">
        <v>#NULL!</v>
      </c>
      <c r="BH69" s="29" t="e">
        <v>#NULL!</v>
      </c>
      <c r="BI69" s="29" t="e">
        <v>#NULL!</v>
      </c>
      <c r="BJ69" s="29" t="e">
        <v>#NULL!</v>
      </c>
      <c r="BK69" s="29" t="e">
        <v>#NULL!</v>
      </c>
      <c r="BL69" s="28">
        <v>2</v>
      </c>
      <c r="BM69" s="28">
        <v>4</v>
      </c>
      <c r="BN69" t="s">
        <v>930</v>
      </c>
      <c r="BO69" s="28">
        <v>98</v>
      </c>
      <c r="BP69" s="29" t="e">
        <v>#NULL!</v>
      </c>
      <c r="BQ69" s="29" t="e">
        <v>#NULL!</v>
      </c>
      <c r="BR69" s="29" t="e">
        <v>#NULL!</v>
      </c>
      <c r="BS69" s="28">
        <v>7</v>
      </c>
      <c r="BT69" t="s">
        <v>578</v>
      </c>
      <c r="BU69" s="28">
        <v>97</v>
      </c>
      <c r="BV69" s="29" t="e">
        <v>#NULL!</v>
      </c>
      <c r="BW69" s="29" t="e">
        <v>#NULL!</v>
      </c>
      <c r="BX69" s="29" t="e">
        <v>#NULL!</v>
      </c>
      <c r="BZ69" s="29" t="e">
        <v>#NULL!</v>
      </c>
      <c r="CA69" s="29" t="e">
        <v>#NULL!</v>
      </c>
      <c r="CB69" s="29" t="e">
        <v>#NULL!</v>
      </c>
      <c r="CC69" s="28">
        <v>2</v>
      </c>
      <c r="CD69" s="29" t="e">
        <v>#NULL!</v>
      </c>
      <c r="CE69" s="28">
        <v>2</v>
      </c>
      <c r="CF69" s="29" t="e">
        <v>#NULL!</v>
      </c>
      <c r="CG69" s="29" t="e">
        <v>#NULL!</v>
      </c>
      <c r="CI69" s="29" t="e">
        <v>#NULL!</v>
      </c>
      <c r="CJ69" s="29" t="e">
        <v>#NULL!</v>
      </c>
      <c r="CK69" s="29" t="e">
        <v>#NULL!</v>
      </c>
      <c r="CL69" s="29" t="e">
        <v>#NULL!</v>
      </c>
      <c r="CN69" s="29" t="e">
        <v>#NULL!</v>
      </c>
      <c r="CO69" s="29" t="e">
        <v>#NULL!</v>
      </c>
      <c r="CP69" s="29" t="e">
        <v>#NULL!</v>
      </c>
      <c r="CQ69" s="28">
        <v>2</v>
      </c>
      <c r="CR69" s="29" t="e">
        <v>#NULL!</v>
      </c>
      <c r="CS69" s="28">
        <v>10</v>
      </c>
      <c r="CT69" s="28">
        <v>10</v>
      </c>
      <c r="CU69" s="28">
        <v>10</v>
      </c>
      <c r="CV69" s="28">
        <v>10</v>
      </c>
      <c r="CW69" s="28">
        <v>10</v>
      </c>
      <c r="CX69" s="28">
        <v>10</v>
      </c>
      <c r="CY69" s="28">
        <v>10</v>
      </c>
      <c r="DA69" s="29" t="e">
        <v>#NULL!</v>
      </c>
      <c r="DB69" s="29" t="e">
        <v>#NULL!</v>
      </c>
      <c r="DC69" s="28">
        <v>10</v>
      </c>
      <c r="DD69" s="29" t="e">
        <v>#NULL!</v>
      </c>
      <c r="DE69" s="29" t="e">
        <v>#NULL!</v>
      </c>
      <c r="DF69" s="29" t="e">
        <v>#NULL!</v>
      </c>
      <c r="DG69" s="29" t="e">
        <v>#NULL!</v>
      </c>
      <c r="DH69" s="29" t="e">
        <v>#NULL!</v>
      </c>
      <c r="DI69" s="29" t="e">
        <v>#NULL!</v>
      </c>
      <c r="DJ69" s="29" t="e">
        <v>#NULL!</v>
      </c>
      <c r="DK69" s="29" t="e">
        <v>#NULL!</v>
      </c>
      <c r="DL69" s="29" t="e">
        <v>#NULL!</v>
      </c>
      <c r="DN69" s="28">
        <v>1</v>
      </c>
      <c r="DP69" s="29" t="e">
        <v>#NULL!</v>
      </c>
      <c r="DQ69" s="29" t="e">
        <v>#NULL!</v>
      </c>
      <c r="DR69" s="29" t="e">
        <v>#NULL!</v>
      </c>
      <c r="DT69" s="29" t="e">
        <v>#NULL!</v>
      </c>
      <c r="DU69" s="29" t="e">
        <v>#NULL!</v>
      </c>
      <c r="DV69" s="29" t="e">
        <v>#NULL!</v>
      </c>
      <c r="DW69" s="28">
        <v>2</v>
      </c>
      <c r="DX69" s="28">
        <v>2</v>
      </c>
      <c r="DZ69" s="29" t="e">
        <v>#NULL!</v>
      </c>
      <c r="EA69" s="29" t="e">
        <v>#NULL!</v>
      </c>
      <c r="EI69" s="29" t="e">
        <v>#NULL!</v>
      </c>
      <c r="EJ69" s="29" t="e">
        <v>#NULL!</v>
      </c>
      <c r="EK69" s="29" t="e">
        <v>#NULL!</v>
      </c>
      <c r="EL69" s="29" t="e">
        <v>#NULL!</v>
      </c>
      <c r="EM69" s="28">
        <v>4</v>
      </c>
      <c r="EN69" s="28">
        <v>1</v>
      </c>
      <c r="EP69" s="28">
        <v>1</v>
      </c>
      <c r="EQ69" s="28">
        <v>1</v>
      </c>
      <c r="ER69" s="28">
        <v>2</v>
      </c>
      <c r="ES69" s="28">
        <v>78724</v>
      </c>
      <c r="ET69" s="28">
        <v>2</v>
      </c>
      <c r="EU69" s="28">
        <v>3</v>
      </c>
      <c r="EV69" s="28">
        <v>6</v>
      </c>
      <c r="EW69" s="28">
        <v>4</v>
      </c>
      <c r="EX69" s="28">
        <v>2</v>
      </c>
      <c r="EY69" t="s">
        <v>931</v>
      </c>
      <c r="EZ69" t="s">
        <v>932</v>
      </c>
      <c r="FB69" t="s">
        <v>933</v>
      </c>
      <c r="FC69" t="s">
        <v>934</v>
      </c>
      <c r="FD69" s="29" t="e">
        <v>#NULL!</v>
      </c>
      <c r="FE69" s="29" t="e">
        <v>#NULL!</v>
      </c>
      <c r="FF69" s="28">
        <v>3</v>
      </c>
      <c r="FH69" t="s">
        <v>935</v>
      </c>
      <c r="FI69" t="s">
        <v>936</v>
      </c>
    </row>
    <row r="70" spans="1:165" x14ac:dyDescent="0.15">
      <c r="A70" s="28">
        <v>427</v>
      </c>
      <c r="B70" s="28">
        <v>1</v>
      </c>
      <c r="C70" s="28">
        <v>2</v>
      </c>
      <c r="D70" s="28">
        <v>1</v>
      </c>
      <c r="E70" s="29" t="e">
        <v>#NULL!</v>
      </c>
      <c r="F70" s="28">
        <v>2</v>
      </c>
      <c r="G70" s="28">
        <v>2</v>
      </c>
      <c r="H70" s="28">
        <v>3</v>
      </c>
      <c r="J70" s="28">
        <v>1</v>
      </c>
      <c r="K70" s="28">
        <v>21</v>
      </c>
      <c r="P70" s="29" t="e">
        <v>#NULL!</v>
      </c>
      <c r="Q70" s="29" t="e">
        <v>#NULL!</v>
      </c>
      <c r="R70" s="29" t="e">
        <v>#NULL!</v>
      </c>
      <c r="S70" s="29" t="e">
        <v>#NULL!</v>
      </c>
      <c r="T70" s="28">
        <v>10</v>
      </c>
      <c r="U70" s="28">
        <v>10</v>
      </c>
      <c r="V70" s="28">
        <v>11</v>
      </c>
      <c r="W70" s="28">
        <v>10</v>
      </c>
      <c r="Y70" s="29" t="e">
        <v>#NULL!</v>
      </c>
      <c r="Z70" s="29" t="e">
        <v>#NULL!</v>
      </c>
      <c r="AA70" s="29" t="e">
        <v>#NULL!</v>
      </c>
      <c r="AB70" s="29" t="e">
        <v>#NULL!</v>
      </c>
      <c r="AC70" t="s">
        <v>937</v>
      </c>
      <c r="AD70" s="28">
        <v>20</v>
      </c>
      <c r="AE70" s="29" t="e">
        <v>#NULL!</v>
      </c>
      <c r="AF70" s="29" t="e">
        <v>#NULL!</v>
      </c>
      <c r="AG70" s="29" t="e">
        <v>#NULL!</v>
      </c>
      <c r="AI70" s="29" t="e">
        <v>#NULL!</v>
      </c>
      <c r="AJ70" s="29" t="e">
        <v>#NULL!</v>
      </c>
      <c r="AK70" s="29" t="e">
        <v>#NULL!</v>
      </c>
      <c r="AL70" s="29" t="e">
        <v>#NULL!</v>
      </c>
      <c r="AM70" t="s">
        <v>938</v>
      </c>
      <c r="AN70" s="28">
        <v>27</v>
      </c>
      <c r="AO70" s="29" t="e">
        <v>#NULL!</v>
      </c>
      <c r="AP70" s="29" t="e">
        <v>#NULL!</v>
      </c>
      <c r="AQ70" s="29" t="e">
        <v>#NULL!</v>
      </c>
      <c r="AS70" s="29" t="e">
        <v>#NULL!</v>
      </c>
      <c r="AT70" s="29" t="e">
        <v>#NULL!</v>
      </c>
      <c r="AU70" s="29" t="e">
        <v>#NULL!</v>
      </c>
      <c r="AV70" s="29" t="e">
        <v>#NULL!</v>
      </c>
      <c r="AX70" s="29" t="e">
        <v>#NULL!</v>
      </c>
      <c r="AY70" s="29" t="e">
        <v>#NULL!</v>
      </c>
      <c r="AZ70" s="29" t="e">
        <v>#NULL!</v>
      </c>
      <c r="BA70" s="29" t="e">
        <v>#NULL!</v>
      </c>
      <c r="BC70" s="29" t="e">
        <v>#NULL!</v>
      </c>
      <c r="BD70" s="29" t="e">
        <v>#NULL!</v>
      </c>
      <c r="BE70" s="29" t="e">
        <v>#NULL!</v>
      </c>
      <c r="BF70" s="29" t="e">
        <v>#NULL!</v>
      </c>
      <c r="BG70" t="s">
        <v>939</v>
      </c>
      <c r="BH70" s="28">
        <v>21</v>
      </c>
      <c r="BI70" s="29" t="e">
        <v>#NULL!</v>
      </c>
      <c r="BJ70" s="29" t="e">
        <v>#NULL!</v>
      </c>
      <c r="BK70" s="29" t="e">
        <v>#NULL!</v>
      </c>
      <c r="BL70" s="28">
        <v>1</v>
      </c>
      <c r="BM70" s="29" t="e">
        <v>#NULL!</v>
      </c>
      <c r="BO70" s="29" t="e">
        <v>#NULL!</v>
      </c>
      <c r="BP70" s="29" t="e">
        <v>#NULL!</v>
      </c>
      <c r="BQ70" s="29" t="e">
        <v>#NULL!</v>
      </c>
      <c r="BR70" s="29" t="e">
        <v>#NULL!</v>
      </c>
      <c r="BS70" s="29" t="e">
        <v>#NULL!</v>
      </c>
      <c r="BU70" s="29" t="e">
        <v>#NULL!</v>
      </c>
      <c r="BV70" s="29" t="e">
        <v>#NULL!</v>
      </c>
      <c r="BW70" s="29" t="e">
        <v>#NULL!</v>
      </c>
      <c r="BX70" s="29" t="e">
        <v>#NULL!</v>
      </c>
      <c r="BZ70" s="29" t="e">
        <v>#NULL!</v>
      </c>
      <c r="CA70" s="29" t="e">
        <v>#NULL!</v>
      </c>
      <c r="CB70" s="29" t="e">
        <v>#NULL!</v>
      </c>
      <c r="CC70" s="28">
        <v>2</v>
      </c>
      <c r="CD70" s="29" t="e">
        <v>#NULL!</v>
      </c>
      <c r="CE70" s="28">
        <v>2</v>
      </c>
      <c r="CF70" s="29" t="e">
        <v>#NULL!</v>
      </c>
      <c r="CG70" s="29" t="e">
        <v>#NULL!</v>
      </c>
      <c r="CI70" s="29" t="e">
        <v>#NULL!</v>
      </c>
      <c r="CJ70" s="29" t="e">
        <v>#NULL!</v>
      </c>
      <c r="CK70" s="29" t="e">
        <v>#NULL!</v>
      </c>
      <c r="CL70" s="29" t="e">
        <v>#NULL!</v>
      </c>
      <c r="CN70" s="29" t="e">
        <v>#NULL!</v>
      </c>
      <c r="CO70" s="29" t="e">
        <v>#NULL!</v>
      </c>
      <c r="CP70" s="29" t="e">
        <v>#NULL!</v>
      </c>
      <c r="CQ70" s="28">
        <v>2</v>
      </c>
      <c r="CR70" s="29" t="e">
        <v>#NULL!</v>
      </c>
      <c r="CS70" s="28">
        <v>10</v>
      </c>
      <c r="CT70" s="28">
        <v>10</v>
      </c>
      <c r="CU70" s="28">
        <v>10</v>
      </c>
      <c r="CV70" s="28">
        <v>11</v>
      </c>
      <c r="CW70" s="28">
        <v>10</v>
      </c>
      <c r="CX70" s="28">
        <v>10</v>
      </c>
      <c r="CY70" s="28">
        <v>11</v>
      </c>
      <c r="DA70" s="29" t="e">
        <v>#NULL!</v>
      </c>
      <c r="DB70" s="29" t="e">
        <v>#NULL!</v>
      </c>
      <c r="DC70" s="28">
        <v>10</v>
      </c>
      <c r="DD70" s="29" t="e">
        <v>#NULL!</v>
      </c>
      <c r="DE70" s="29" t="e">
        <v>#NULL!</v>
      </c>
      <c r="DF70" s="29" t="e">
        <v>#NULL!</v>
      </c>
      <c r="DG70" s="29" t="e">
        <v>#NULL!</v>
      </c>
      <c r="DH70" s="29" t="e">
        <v>#NULL!</v>
      </c>
      <c r="DI70" s="29" t="e">
        <v>#NULL!</v>
      </c>
      <c r="DJ70" s="29" t="e">
        <v>#NULL!</v>
      </c>
      <c r="DK70" s="29" t="e">
        <v>#NULL!</v>
      </c>
      <c r="DL70" s="29" t="e">
        <v>#NULL!</v>
      </c>
      <c r="DN70" s="28">
        <v>1</v>
      </c>
      <c r="DP70" s="29" t="e">
        <v>#NULL!</v>
      </c>
      <c r="DQ70" s="29" t="e">
        <v>#NULL!</v>
      </c>
      <c r="DR70" s="29" t="e">
        <v>#NULL!</v>
      </c>
      <c r="DT70" s="29" t="e">
        <v>#NULL!</v>
      </c>
      <c r="DU70" s="29" t="e">
        <v>#NULL!</v>
      </c>
      <c r="DV70" s="29" t="e">
        <v>#NULL!</v>
      </c>
      <c r="DW70" s="28">
        <v>3</v>
      </c>
      <c r="DX70" s="28">
        <v>1</v>
      </c>
      <c r="DY70" t="s">
        <v>940</v>
      </c>
      <c r="DZ70" s="28">
        <v>3</v>
      </c>
      <c r="EA70" s="29" t="e">
        <v>#NULL!</v>
      </c>
      <c r="EI70" s="29" t="e">
        <v>#NULL!</v>
      </c>
      <c r="EJ70" s="29" t="e">
        <v>#NULL!</v>
      </c>
      <c r="EK70" s="29" t="e">
        <v>#NULL!</v>
      </c>
      <c r="EL70" s="29" t="e">
        <v>#NULL!</v>
      </c>
      <c r="EM70" s="28">
        <v>10</v>
      </c>
      <c r="EN70" s="28">
        <v>1</v>
      </c>
      <c r="EP70" s="28">
        <v>1</v>
      </c>
      <c r="EQ70" s="28">
        <v>1</v>
      </c>
      <c r="ER70" s="28">
        <v>2</v>
      </c>
      <c r="ES70" s="28">
        <v>78741</v>
      </c>
      <c r="ET70" s="28">
        <v>2</v>
      </c>
      <c r="EU70" s="28">
        <v>2</v>
      </c>
      <c r="EV70" s="28">
        <v>8</v>
      </c>
      <c r="EW70" s="28">
        <v>5</v>
      </c>
      <c r="EX70" s="28">
        <v>1</v>
      </c>
      <c r="EY70" t="s">
        <v>941</v>
      </c>
      <c r="EZ70" t="s">
        <v>942</v>
      </c>
      <c r="FB70" t="s">
        <v>943</v>
      </c>
      <c r="FC70" t="s">
        <v>944</v>
      </c>
      <c r="FD70" s="29" t="e">
        <v>#NULL!</v>
      </c>
      <c r="FE70" s="29" t="e">
        <v>#NULL!</v>
      </c>
      <c r="FF70" s="28">
        <v>3</v>
      </c>
      <c r="FH70" t="s">
        <v>945</v>
      </c>
      <c r="FI70" t="s">
        <v>946</v>
      </c>
    </row>
    <row r="71" spans="1:165" x14ac:dyDescent="0.15">
      <c r="A71" s="28">
        <v>434</v>
      </c>
      <c r="B71" s="28">
        <v>1</v>
      </c>
      <c r="C71" s="28">
        <v>2</v>
      </c>
      <c r="D71" s="28">
        <v>1</v>
      </c>
      <c r="E71" s="29" t="e">
        <v>#NULL!</v>
      </c>
      <c r="F71" s="28">
        <v>2</v>
      </c>
      <c r="G71" s="28">
        <v>2</v>
      </c>
      <c r="H71" s="28">
        <v>2</v>
      </c>
      <c r="J71" s="28">
        <v>1</v>
      </c>
      <c r="K71" s="28">
        <v>2</v>
      </c>
      <c r="P71" s="29" t="e">
        <v>#NULL!</v>
      </c>
      <c r="Q71" s="29" t="e">
        <v>#NULL!</v>
      </c>
      <c r="R71" s="29" t="e">
        <v>#NULL!</v>
      </c>
      <c r="S71" s="29" t="e">
        <v>#NULL!</v>
      </c>
      <c r="T71" s="28">
        <v>10</v>
      </c>
      <c r="U71" s="28">
        <v>10</v>
      </c>
      <c r="V71" s="28">
        <v>10</v>
      </c>
      <c r="W71" s="28">
        <v>10</v>
      </c>
      <c r="Y71" s="29" t="e">
        <v>#NULL!</v>
      </c>
      <c r="Z71" s="29" t="e">
        <v>#NULL!</v>
      </c>
      <c r="AA71" s="29" t="e">
        <v>#NULL!</v>
      </c>
      <c r="AB71" s="29" t="e">
        <v>#NULL!</v>
      </c>
      <c r="AC71" t="s">
        <v>947</v>
      </c>
      <c r="AD71" s="28">
        <v>22</v>
      </c>
      <c r="AE71" s="29" t="e">
        <v>#NULL!</v>
      </c>
      <c r="AF71" s="29" t="e">
        <v>#NULL!</v>
      </c>
      <c r="AG71" s="29" t="e">
        <v>#NULL!</v>
      </c>
      <c r="AI71" s="29" t="e">
        <v>#NULL!</v>
      </c>
      <c r="AJ71" s="29" t="e">
        <v>#NULL!</v>
      </c>
      <c r="AK71" s="29" t="e">
        <v>#NULL!</v>
      </c>
      <c r="AL71" s="29" t="e">
        <v>#NULL!</v>
      </c>
      <c r="AM71" t="s">
        <v>948</v>
      </c>
      <c r="AN71" s="28">
        <v>28</v>
      </c>
      <c r="AO71" s="29" t="e">
        <v>#NULL!</v>
      </c>
      <c r="AP71" s="29" t="e">
        <v>#NULL!</v>
      </c>
      <c r="AQ71" s="29" t="e">
        <v>#NULL!</v>
      </c>
      <c r="AS71" s="29" t="e">
        <v>#NULL!</v>
      </c>
      <c r="AT71" s="29" t="e">
        <v>#NULL!</v>
      </c>
      <c r="AU71" s="29" t="e">
        <v>#NULL!</v>
      </c>
      <c r="AV71" s="29" t="e">
        <v>#NULL!</v>
      </c>
      <c r="AW71" t="s">
        <v>949</v>
      </c>
      <c r="AX71" s="28">
        <v>22</v>
      </c>
      <c r="AY71" s="29" t="e">
        <v>#NULL!</v>
      </c>
      <c r="AZ71" s="29" t="e">
        <v>#NULL!</v>
      </c>
      <c r="BA71" s="29" t="e">
        <v>#NULL!</v>
      </c>
      <c r="BC71" s="29" t="e">
        <v>#NULL!</v>
      </c>
      <c r="BD71" s="29" t="e">
        <v>#NULL!</v>
      </c>
      <c r="BE71" s="29" t="e">
        <v>#NULL!</v>
      </c>
      <c r="BF71" s="29" t="e">
        <v>#NULL!</v>
      </c>
      <c r="BG71" t="s">
        <v>950</v>
      </c>
      <c r="BH71" s="28">
        <v>21</v>
      </c>
      <c r="BI71" s="29" t="e">
        <v>#NULL!</v>
      </c>
      <c r="BJ71" s="29" t="e">
        <v>#NULL!</v>
      </c>
      <c r="BK71" s="29" t="e">
        <v>#NULL!</v>
      </c>
      <c r="BL71" s="28">
        <v>1</v>
      </c>
      <c r="BM71" s="29" t="e">
        <v>#NULL!</v>
      </c>
      <c r="BO71" s="29" t="e">
        <v>#NULL!</v>
      </c>
      <c r="BP71" s="29" t="e">
        <v>#NULL!</v>
      </c>
      <c r="BQ71" s="29" t="e">
        <v>#NULL!</v>
      </c>
      <c r="BR71" s="29" t="e">
        <v>#NULL!</v>
      </c>
      <c r="BS71" s="29" t="e">
        <v>#NULL!</v>
      </c>
      <c r="BU71" s="29" t="e">
        <v>#NULL!</v>
      </c>
      <c r="BV71" s="29" t="e">
        <v>#NULL!</v>
      </c>
      <c r="BW71" s="29" t="e">
        <v>#NULL!</v>
      </c>
      <c r="BX71" s="29" t="e">
        <v>#NULL!</v>
      </c>
      <c r="BZ71" s="29" t="e">
        <v>#NULL!</v>
      </c>
      <c r="CA71" s="29" t="e">
        <v>#NULL!</v>
      </c>
      <c r="CB71" s="29" t="e">
        <v>#NULL!</v>
      </c>
      <c r="CC71" s="28">
        <v>2</v>
      </c>
      <c r="CD71" s="29" t="e">
        <v>#NULL!</v>
      </c>
      <c r="CE71" s="28">
        <v>2</v>
      </c>
      <c r="CF71" s="29" t="e">
        <v>#NULL!</v>
      </c>
      <c r="CG71" s="29" t="e">
        <v>#NULL!</v>
      </c>
      <c r="CI71" s="29" t="e">
        <v>#NULL!</v>
      </c>
      <c r="CJ71" s="29" t="e">
        <v>#NULL!</v>
      </c>
      <c r="CK71" s="29" t="e">
        <v>#NULL!</v>
      </c>
      <c r="CL71" s="29" t="e">
        <v>#NULL!</v>
      </c>
      <c r="CN71" s="29" t="e">
        <v>#NULL!</v>
      </c>
      <c r="CO71" s="29" t="e">
        <v>#NULL!</v>
      </c>
      <c r="CP71" s="29" t="e">
        <v>#NULL!</v>
      </c>
      <c r="CQ71" s="28">
        <v>2</v>
      </c>
      <c r="CR71" s="29" t="e">
        <v>#NULL!</v>
      </c>
      <c r="CS71" s="28">
        <v>10</v>
      </c>
      <c r="CT71" s="28">
        <v>10</v>
      </c>
      <c r="CU71" s="28">
        <v>10</v>
      </c>
      <c r="CV71" s="28">
        <v>10</v>
      </c>
      <c r="CW71" s="28">
        <v>10</v>
      </c>
      <c r="CX71" s="28">
        <v>10</v>
      </c>
      <c r="CY71" s="28">
        <v>10</v>
      </c>
      <c r="DA71" s="29" t="e">
        <v>#NULL!</v>
      </c>
      <c r="DB71" s="29" t="e">
        <v>#NULL!</v>
      </c>
      <c r="DC71" s="28">
        <v>10</v>
      </c>
      <c r="DD71" s="29" t="e">
        <v>#NULL!</v>
      </c>
      <c r="DE71" s="29" t="e">
        <v>#NULL!</v>
      </c>
      <c r="DF71" s="29" t="e">
        <v>#NULL!</v>
      </c>
      <c r="DG71" s="29" t="e">
        <v>#NULL!</v>
      </c>
      <c r="DH71" s="29" t="e">
        <v>#NULL!</v>
      </c>
      <c r="DI71" s="29" t="e">
        <v>#NULL!</v>
      </c>
      <c r="DJ71" s="29" t="e">
        <v>#NULL!</v>
      </c>
      <c r="DK71" s="29" t="e">
        <v>#NULL!</v>
      </c>
      <c r="DL71" s="29" t="e">
        <v>#NULL!</v>
      </c>
      <c r="DN71" s="28">
        <v>1</v>
      </c>
      <c r="DP71" s="29" t="e">
        <v>#NULL!</v>
      </c>
      <c r="DQ71" s="29" t="e">
        <v>#NULL!</v>
      </c>
      <c r="DR71" s="29" t="e">
        <v>#NULL!</v>
      </c>
      <c r="DT71" s="29" t="e">
        <v>#NULL!</v>
      </c>
      <c r="DU71" s="29" t="e">
        <v>#NULL!</v>
      </c>
      <c r="DV71" s="29" t="e">
        <v>#NULL!</v>
      </c>
      <c r="DW71" s="28">
        <v>4</v>
      </c>
      <c r="DX71" s="28">
        <v>2</v>
      </c>
      <c r="DZ71" s="29" t="e">
        <v>#NULL!</v>
      </c>
      <c r="EA71" s="29" t="e">
        <v>#NULL!</v>
      </c>
      <c r="EI71" s="29" t="e">
        <v>#NULL!</v>
      </c>
      <c r="EJ71" s="29" t="e">
        <v>#NULL!</v>
      </c>
      <c r="EK71" s="29" t="e">
        <v>#NULL!</v>
      </c>
      <c r="EL71" s="29" t="e">
        <v>#NULL!</v>
      </c>
      <c r="EM71" s="28">
        <v>4</v>
      </c>
      <c r="EN71" s="28">
        <v>1</v>
      </c>
      <c r="EP71" s="28">
        <v>1</v>
      </c>
      <c r="EQ71" s="28">
        <v>3</v>
      </c>
      <c r="ER71" s="28">
        <v>1</v>
      </c>
      <c r="ES71" s="28">
        <v>78741</v>
      </c>
      <c r="ET71" s="28">
        <v>1</v>
      </c>
      <c r="EU71" s="28">
        <v>5</v>
      </c>
      <c r="EV71" s="28">
        <v>6</v>
      </c>
      <c r="EW71" s="28">
        <v>4</v>
      </c>
      <c r="EX71" s="28">
        <v>2</v>
      </c>
      <c r="EY71" t="s">
        <v>951</v>
      </c>
      <c r="EZ71" t="s">
        <v>952</v>
      </c>
      <c r="FB71" t="s">
        <v>953</v>
      </c>
      <c r="FC71" t="s">
        <v>954</v>
      </c>
      <c r="FD71" s="29" t="e">
        <v>#NULL!</v>
      </c>
      <c r="FE71" s="29" t="e">
        <v>#NULL!</v>
      </c>
      <c r="FF71" s="28">
        <v>3</v>
      </c>
      <c r="FH71" t="s">
        <v>955</v>
      </c>
      <c r="FI71" t="s">
        <v>956</v>
      </c>
    </row>
    <row r="72" spans="1:165" x14ac:dyDescent="0.15">
      <c r="A72" s="28">
        <v>439</v>
      </c>
      <c r="B72" s="28">
        <v>1</v>
      </c>
      <c r="C72" s="28">
        <v>2</v>
      </c>
      <c r="D72" s="28">
        <v>1</v>
      </c>
      <c r="E72" s="29" t="e">
        <v>#NULL!</v>
      </c>
      <c r="F72" s="28">
        <v>2</v>
      </c>
      <c r="G72" s="28">
        <v>2</v>
      </c>
      <c r="H72" s="28">
        <v>2</v>
      </c>
      <c r="J72" s="28">
        <v>1</v>
      </c>
      <c r="K72" s="28">
        <v>1</v>
      </c>
      <c r="P72" s="29" t="e">
        <v>#NULL!</v>
      </c>
      <c r="Q72" s="29" t="e">
        <v>#NULL!</v>
      </c>
      <c r="R72" s="29" t="e">
        <v>#NULL!</v>
      </c>
      <c r="S72" s="28">
        <v>1</v>
      </c>
      <c r="T72" s="28">
        <v>4</v>
      </c>
      <c r="U72" s="28">
        <v>1</v>
      </c>
      <c r="V72" s="28">
        <v>2</v>
      </c>
      <c r="W72" s="28">
        <v>4</v>
      </c>
      <c r="Y72" s="29" t="e">
        <v>#NULL!</v>
      </c>
      <c r="Z72" s="29" t="e">
        <v>#NULL!</v>
      </c>
      <c r="AA72" s="29" t="e">
        <v>#NULL!</v>
      </c>
      <c r="AB72" s="29" t="e">
        <v>#NULL!</v>
      </c>
      <c r="AD72" s="29" t="e">
        <v>#NULL!</v>
      </c>
      <c r="AE72" s="29" t="e">
        <v>#NULL!</v>
      </c>
      <c r="AF72" s="29" t="e">
        <v>#NULL!</v>
      </c>
      <c r="AG72" s="29" t="e">
        <v>#NULL!</v>
      </c>
      <c r="AH72" t="s">
        <v>957</v>
      </c>
      <c r="AI72" s="28">
        <v>6</v>
      </c>
      <c r="AJ72" s="29" t="e">
        <v>#NULL!</v>
      </c>
      <c r="AK72" s="29" t="e">
        <v>#NULL!</v>
      </c>
      <c r="AL72" s="29" t="e">
        <v>#NULL!</v>
      </c>
      <c r="AN72" s="29" t="e">
        <v>#NULL!</v>
      </c>
      <c r="AO72" s="29" t="e">
        <v>#NULL!</v>
      </c>
      <c r="AP72" s="29" t="e">
        <v>#NULL!</v>
      </c>
      <c r="AQ72" s="29" t="e">
        <v>#NULL!</v>
      </c>
      <c r="AR72" t="s">
        <v>958</v>
      </c>
      <c r="AS72" s="28">
        <v>6</v>
      </c>
      <c r="AT72" s="29" t="e">
        <v>#NULL!</v>
      </c>
      <c r="AU72" s="29" t="e">
        <v>#NULL!</v>
      </c>
      <c r="AV72" s="29" t="e">
        <v>#NULL!</v>
      </c>
      <c r="AX72" s="29" t="e">
        <v>#NULL!</v>
      </c>
      <c r="AY72" s="29" t="e">
        <v>#NULL!</v>
      </c>
      <c r="AZ72" s="29" t="e">
        <v>#NULL!</v>
      </c>
      <c r="BA72" s="29" t="e">
        <v>#NULL!</v>
      </c>
      <c r="BC72" s="29" t="e">
        <v>#NULL!</v>
      </c>
      <c r="BD72" s="29" t="e">
        <v>#NULL!</v>
      </c>
      <c r="BE72" s="29" t="e">
        <v>#NULL!</v>
      </c>
      <c r="BF72" s="29" t="e">
        <v>#NULL!</v>
      </c>
      <c r="BH72" s="29" t="e">
        <v>#NULL!</v>
      </c>
      <c r="BI72" s="29" t="e">
        <v>#NULL!</v>
      </c>
      <c r="BJ72" s="29" t="e">
        <v>#NULL!</v>
      </c>
      <c r="BK72" s="29" t="e">
        <v>#NULL!</v>
      </c>
      <c r="BL72" s="28">
        <v>2</v>
      </c>
      <c r="BM72" s="28">
        <v>5</v>
      </c>
      <c r="BN72" t="s">
        <v>959</v>
      </c>
      <c r="BO72" s="28">
        <v>98</v>
      </c>
      <c r="BP72" s="29" t="e">
        <v>#NULL!</v>
      </c>
      <c r="BQ72" s="29" t="e">
        <v>#NULL!</v>
      </c>
      <c r="BR72" s="29" t="e">
        <v>#NULL!</v>
      </c>
      <c r="BS72" s="28">
        <v>1</v>
      </c>
      <c r="BT72" t="s">
        <v>960</v>
      </c>
      <c r="BU72" s="28">
        <v>7</v>
      </c>
      <c r="BV72" s="29" t="e">
        <v>#NULL!</v>
      </c>
      <c r="BW72" s="29" t="e">
        <v>#NULL!</v>
      </c>
      <c r="BX72" s="29" t="e">
        <v>#NULL!</v>
      </c>
      <c r="BZ72" s="29" t="e">
        <v>#NULL!</v>
      </c>
      <c r="CA72" s="29" t="e">
        <v>#NULL!</v>
      </c>
      <c r="CB72" s="29" t="e">
        <v>#NULL!</v>
      </c>
      <c r="CC72" s="28">
        <v>2</v>
      </c>
      <c r="CD72" s="29" t="e">
        <v>#NULL!</v>
      </c>
      <c r="CE72" s="28">
        <v>2</v>
      </c>
      <c r="CF72" s="29" t="e">
        <v>#NULL!</v>
      </c>
      <c r="CG72" s="29" t="e">
        <v>#NULL!</v>
      </c>
      <c r="CI72" s="29" t="e">
        <v>#NULL!</v>
      </c>
      <c r="CJ72" s="29" t="e">
        <v>#NULL!</v>
      </c>
      <c r="CK72" s="29" t="e">
        <v>#NULL!</v>
      </c>
      <c r="CL72" s="29" t="e">
        <v>#NULL!</v>
      </c>
      <c r="CN72" s="29" t="e">
        <v>#NULL!</v>
      </c>
      <c r="CO72" s="29" t="e">
        <v>#NULL!</v>
      </c>
      <c r="CP72" s="29" t="e">
        <v>#NULL!</v>
      </c>
      <c r="CQ72" s="28">
        <v>2</v>
      </c>
      <c r="CR72" s="29" t="e">
        <v>#NULL!</v>
      </c>
      <c r="CS72" s="28">
        <v>8</v>
      </c>
      <c r="CT72" s="28">
        <v>6</v>
      </c>
      <c r="CU72" s="28">
        <v>4</v>
      </c>
      <c r="CV72" s="28">
        <v>5</v>
      </c>
      <c r="CW72" s="28">
        <v>7</v>
      </c>
      <c r="CX72" s="28">
        <v>5</v>
      </c>
      <c r="CY72" s="28">
        <v>4</v>
      </c>
      <c r="CZ72" t="s">
        <v>961</v>
      </c>
      <c r="DA72" s="28">
        <v>4</v>
      </c>
      <c r="DB72" s="29" t="e">
        <v>#NULL!</v>
      </c>
      <c r="DC72" s="28">
        <v>4</v>
      </c>
      <c r="DD72" s="28">
        <v>0</v>
      </c>
      <c r="DE72" s="28">
        <v>1</v>
      </c>
      <c r="DF72" s="28">
        <v>0</v>
      </c>
      <c r="DG72" s="28">
        <v>0</v>
      </c>
      <c r="DH72" s="28">
        <v>0</v>
      </c>
      <c r="DI72" s="28">
        <v>1</v>
      </c>
      <c r="DJ72" s="28">
        <v>0</v>
      </c>
      <c r="DK72" s="28">
        <v>0</v>
      </c>
      <c r="DL72" s="28">
        <v>0</v>
      </c>
      <c r="DN72" s="28">
        <v>2</v>
      </c>
      <c r="DO72" t="s">
        <v>962</v>
      </c>
      <c r="DP72" s="28">
        <v>3</v>
      </c>
      <c r="DQ72" s="29" t="e">
        <v>#NULL!</v>
      </c>
      <c r="DR72" s="29" t="e">
        <v>#NULL!</v>
      </c>
      <c r="DT72" s="29" t="e">
        <v>#NULL!</v>
      </c>
      <c r="DU72" s="29" t="e">
        <v>#NULL!</v>
      </c>
      <c r="DV72" s="29" t="e">
        <v>#NULL!</v>
      </c>
      <c r="DW72" s="28">
        <v>1</v>
      </c>
      <c r="DX72" s="28">
        <v>2</v>
      </c>
      <c r="DZ72" s="29" t="e">
        <v>#NULL!</v>
      </c>
      <c r="EA72" s="29" t="e">
        <v>#NULL!</v>
      </c>
      <c r="EI72" s="29" t="e">
        <v>#NULL!</v>
      </c>
      <c r="EJ72" s="29" t="e">
        <v>#NULL!</v>
      </c>
      <c r="EK72" s="29" t="e">
        <v>#NULL!</v>
      </c>
      <c r="EL72" s="29" t="e">
        <v>#NULL!</v>
      </c>
      <c r="EM72" s="28">
        <v>10</v>
      </c>
      <c r="EN72" s="28">
        <v>1</v>
      </c>
      <c r="EP72" s="28">
        <v>1</v>
      </c>
      <c r="EQ72" s="28">
        <v>1</v>
      </c>
      <c r="ER72" s="28">
        <v>2</v>
      </c>
      <c r="ES72" s="28">
        <v>78757</v>
      </c>
      <c r="ET72" s="28">
        <v>2</v>
      </c>
      <c r="EU72" s="28">
        <v>5</v>
      </c>
      <c r="EV72" s="28">
        <v>6</v>
      </c>
      <c r="EW72" s="28">
        <v>5</v>
      </c>
      <c r="EX72" s="28">
        <v>2</v>
      </c>
      <c r="EY72" t="s">
        <v>963</v>
      </c>
      <c r="EZ72" t="s">
        <v>964</v>
      </c>
      <c r="FB72" t="s">
        <v>965</v>
      </c>
      <c r="FC72" t="s">
        <v>966</v>
      </c>
      <c r="FD72" s="29" t="e">
        <v>#NULL!</v>
      </c>
      <c r="FE72" s="29" t="e">
        <v>#NULL!</v>
      </c>
      <c r="FF72" s="28">
        <v>3</v>
      </c>
      <c r="FH72" t="s">
        <v>967</v>
      </c>
      <c r="FI72" t="s">
        <v>968</v>
      </c>
    </row>
    <row r="73" spans="1:165" x14ac:dyDescent="0.15">
      <c r="A73" s="28">
        <v>446</v>
      </c>
      <c r="B73" s="28">
        <v>1</v>
      </c>
      <c r="C73" s="28">
        <v>2</v>
      </c>
      <c r="D73" s="28">
        <v>1</v>
      </c>
      <c r="E73" s="29" t="e">
        <v>#NULL!</v>
      </c>
      <c r="F73" s="28">
        <v>2</v>
      </c>
      <c r="G73" s="28">
        <v>2</v>
      </c>
      <c r="H73" s="28">
        <v>2</v>
      </c>
      <c r="J73" s="28">
        <v>2</v>
      </c>
      <c r="K73" s="28">
        <v>1</v>
      </c>
      <c r="O73" t="s">
        <v>969</v>
      </c>
      <c r="P73" s="28">
        <v>13</v>
      </c>
      <c r="Q73" s="29" t="e">
        <v>#NULL!</v>
      </c>
      <c r="R73" s="29" t="e">
        <v>#NULL!</v>
      </c>
      <c r="S73" s="28">
        <v>1</v>
      </c>
      <c r="T73" s="28">
        <v>1</v>
      </c>
      <c r="U73" s="28">
        <v>1</v>
      </c>
      <c r="V73" s="28">
        <v>1</v>
      </c>
      <c r="W73" s="28">
        <v>1</v>
      </c>
      <c r="X73" t="s">
        <v>970</v>
      </c>
      <c r="Y73" s="28">
        <v>3</v>
      </c>
      <c r="Z73" s="29" t="e">
        <v>#NULL!</v>
      </c>
      <c r="AA73" s="29" t="e">
        <v>#NULL!</v>
      </c>
      <c r="AB73" s="29" t="e">
        <v>#NULL!</v>
      </c>
      <c r="AD73" s="29" t="e">
        <v>#NULL!</v>
      </c>
      <c r="AE73" s="29" t="e">
        <v>#NULL!</v>
      </c>
      <c r="AF73" s="29" t="e">
        <v>#NULL!</v>
      </c>
      <c r="AG73" s="29" t="e">
        <v>#NULL!</v>
      </c>
      <c r="AH73" t="s">
        <v>971</v>
      </c>
      <c r="AI73" s="28">
        <v>8</v>
      </c>
      <c r="AJ73" s="29" t="e">
        <v>#NULL!</v>
      </c>
      <c r="AK73" s="29" t="e">
        <v>#NULL!</v>
      </c>
      <c r="AL73" s="29" t="e">
        <v>#NULL!</v>
      </c>
      <c r="AN73" s="29" t="e">
        <v>#NULL!</v>
      </c>
      <c r="AO73" s="29" t="e">
        <v>#NULL!</v>
      </c>
      <c r="AP73" s="29" t="e">
        <v>#NULL!</v>
      </c>
      <c r="AQ73" s="29" t="e">
        <v>#NULL!</v>
      </c>
      <c r="AR73" t="s">
        <v>972</v>
      </c>
      <c r="AS73" s="28">
        <v>2</v>
      </c>
      <c r="AT73" s="29" t="e">
        <v>#NULL!</v>
      </c>
      <c r="AU73" s="29" t="e">
        <v>#NULL!</v>
      </c>
      <c r="AV73" s="29" t="e">
        <v>#NULL!</v>
      </c>
      <c r="AX73" s="29" t="e">
        <v>#NULL!</v>
      </c>
      <c r="AY73" s="29" t="e">
        <v>#NULL!</v>
      </c>
      <c r="AZ73" s="29" t="e">
        <v>#NULL!</v>
      </c>
      <c r="BA73" s="29" t="e">
        <v>#NULL!</v>
      </c>
      <c r="BB73" t="s">
        <v>973</v>
      </c>
      <c r="BC73" s="28">
        <v>4</v>
      </c>
      <c r="BD73" s="29" t="e">
        <v>#NULL!</v>
      </c>
      <c r="BE73" s="29" t="e">
        <v>#NULL!</v>
      </c>
      <c r="BF73" s="29" t="e">
        <v>#NULL!</v>
      </c>
      <c r="BH73" s="29" t="e">
        <v>#NULL!</v>
      </c>
      <c r="BI73" s="29" t="e">
        <v>#NULL!</v>
      </c>
      <c r="BJ73" s="29" t="e">
        <v>#NULL!</v>
      </c>
      <c r="BK73" s="29" t="e">
        <v>#NULL!</v>
      </c>
      <c r="BL73" s="28">
        <v>4</v>
      </c>
      <c r="BM73" s="29" t="e">
        <v>#NULL!</v>
      </c>
      <c r="BO73" s="29" t="e">
        <v>#NULL!</v>
      </c>
      <c r="BP73" s="29" t="e">
        <v>#NULL!</v>
      </c>
      <c r="BQ73" s="29" t="e">
        <v>#NULL!</v>
      </c>
      <c r="BR73" s="29" t="e">
        <v>#NULL!</v>
      </c>
      <c r="BS73" s="29" t="e">
        <v>#NULL!</v>
      </c>
      <c r="BU73" s="29" t="e">
        <v>#NULL!</v>
      </c>
      <c r="BV73" s="29" t="e">
        <v>#NULL!</v>
      </c>
      <c r="BW73" s="29" t="e">
        <v>#NULL!</v>
      </c>
      <c r="BX73" s="28">
        <v>1</v>
      </c>
      <c r="BY73" t="s">
        <v>974</v>
      </c>
      <c r="BZ73" s="28">
        <v>1</v>
      </c>
      <c r="CA73" s="29" t="e">
        <v>#NULL!</v>
      </c>
      <c r="CB73" s="29" t="e">
        <v>#NULL!</v>
      </c>
      <c r="CC73" s="28">
        <v>2</v>
      </c>
      <c r="CD73" s="29" t="e">
        <v>#NULL!</v>
      </c>
      <c r="CE73" s="28">
        <v>3</v>
      </c>
      <c r="CF73" s="29" t="e">
        <v>#NULL!</v>
      </c>
      <c r="CG73" s="29" t="e">
        <v>#NULL!</v>
      </c>
      <c r="CI73" s="29" t="e">
        <v>#NULL!</v>
      </c>
      <c r="CJ73" s="29" t="e">
        <v>#NULL!</v>
      </c>
      <c r="CK73" s="29" t="e">
        <v>#NULL!</v>
      </c>
      <c r="CL73" s="29" t="e">
        <v>#NULL!</v>
      </c>
      <c r="CN73" s="29" t="e">
        <v>#NULL!</v>
      </c>
      <c r="CO73" s="29" t="e">
        <v>#NULL!</v>
      </c>
      <c r="CP73" s="29" t="e">
        <v>#NULL!</v>
      </c>
      <c r="CQ73" s="28">
        <v>2</v>
      </c>
      <c r="CR73" s="29" t="e">
        <v>#NULL!</v>
      </c>
      <c r="CS73" s="28">
        <v>5</v>
      </c>
      <c r="CT73" s="28">
        <v>5</v>
      </c>
      <c r="CU73" s="28">
        <v>5</v>
      </c>
      <c r="CV73" s="28">
        <v>1</v>
      </c>
      <c r="CW73" s="28">
        <v>1</v>
      </c>
      <c r="CX73" s="28">
        <v>10</v>
      </c>
      <c r="CY73" s="28">
        <v>5</v>
      </c>
      <c r="CZ73" t="s">
        <v>975</v>
      </c>
      <c r="DA73" s="28">
        <v>1</v>
      </c>
      <c r="DB73" s="29" t="e">
        <v>#NULL!</v>
      </c>
      <c r="DC73" s="28">
        <v>1</v>
      </c>
      <c r="DD73" s="28">
        <v>0</v>
      </c>
      <c r="DE73" s="28">
        <v>1</v>
      </c>
      <c r="DF73" s="28">
        <v>0</v>
      </c>
      <c r="DG73" s="28">
        <v>0</v>
      </c>
      <c r="DH73" s="28">
        <v>0</v>
      </c>
      <c r="DI73" s="28">
        <v>0</v>
      </c>
      <c r="DJ73" s="28">
        <v>0</v>
      </c>
      <c r="DK73" s="28">
        <v>0</v>
      </c>
      <c r="DL73" s="28">
        <v>0</v>
      </c>
      <c r="DN73" s="28">
        <v>2</v>
      </c>
      <c r="DO73" t="s">
        <v>976</v>
      </c>
      <c r="DP73" s="28">
        <v>1</v>
      </c>
      <c r="DQ73" s="29" t="e">
        <v>#NULL!</v>
      </c>
      <c r="DR73" s="29" t="e">
        <v>#NULL!</v>
      </c>
      <c r="DT73" s="29" t="e">
        <v>#NULL!</v>
      </c>
      <c r="DU73" s="29" t="e">
        <v>#NULL!</v>
      </c>
      <c r="DV73" s="29" t="e">
        <v>#NULL!</v>
      </c>
      <c r="DW73" s="28">
        <v>2</v>
      </c>
      <c r="DX73" s="28">
        <v>2</v>
      </c>
      <c r="DZ73" s="29" t="e">
        <v>#NULL!</v>
      </c>
      <c r="EA73" s="29" t="e">
        <v>#NULL!</v>
      </c>
      <c r="EI73" s="29" t="e">
        <v>#NULL!</v>
      </c>
      <c r="EJ73" s="29" t="e">
        <v>#NULL!</v>
      </c>
      <c r="EK73" s="29" t="e">
        <v>#NULL!</v>
      </c>
      <c r="EL73" s="29" t="e">
        <v>#NULL!</v>
      </c>
      <c r="EM73" s="28">
        <v>8</v>
      </c>
      <c r="EN73" s="28">
        <v>1</v>
      </c>
      <c r="EP73" s="28">
        <v>1</v>
      </c>
      <c r="EQ73" s="28">
        <v>1</v>
      </c>
      <c r="ER73" s="28">
        <v>2</v>
      </c>
      <c r="ES73" s="28">
        <v>78731</v>
      </c>
      <c r="ET73" s="28">
        <v>2</v>
      </c>
      <c r="EU73" s="28">
        <v>5</v>
      </c>
      <c r="EV73" s="28">
        <v>6</v>
      </c>
      <c r="EW73" s="28">
        <v>5</v>
      </c>
      <c r="EX73" s="28">
        <v>2</v>
      </c>
      <c r="EY73" t="s">
        <v>977</v>
      </c>
      <c r="EZ73" t="s">
        <v>978</v>
      </c>
      <c r="FB73" t="s">
        <v>979</v>
      </c>
      <c r="FC73" t="s">
        <v>980</v>
      </c>
      <c r="FD73" s="29" t="e">
        <v>#NULL!</v>
      </c>
      <c r="FE73" s="29" t="e">
        <v>#NULL!</v>
      </c>
      <c r="FF73" s="28">
        <v>3</v>
      </c>
      <c r="FH73" t="s">
        <v>981</v>
      </c>
      <c r="FI73" t="s">
        <v>982</v>
      </c>
    </row>
    <row r="74" spans="1:165" x14ac:dyDescent="0.15">
      <c r="A74" s="28">
        <v>460</v>
      </c>
      <c r="B74" s="28">
        <v>1</v>
      </c>
      <c r="C74" s="28">
        <v>2</v>
      </c>
      <c r="D74" s="28">
        <v>1</v>
      </c>
      <c r="E74" s="29" t="e">
        <v>#NULL!</v>
      </c>
      <c r="F74" s="28">
        <v>2</v>
      </c>
      <c r="G74" s="28">
        <v>2</v>
      </c>
      <c r="H74" s="28">
        <v>2</v>
      </c>
      <c r="J74" s="28">
        <v>2</v>
      </c>
      <c r="K74" s="28">
        <v>3</v>
      </c>
      <c r="O74" t="s">
        <v>983</v>
      </c>
      <c r="P74" s="28">
        <v>1</v>
      </c>
      <c r="Q74" s="29" t="e">
        <v>#NULL!</v>
      </c>
      <c r="R74" s="29" t="e">
        <v>#NULL!</v>
      </c>
      <c r="S74" s="29" t="e">
        <v>#NULL!</v>
      </c>
      <c r="T74" s="28">
        <v>9</v>
      </c>
      <c r="U74" s="28">
        <v>10</v>
      </c>
      <c r="V74" s="28">
        <v>10</v>
      </c>
      <c r="W74" s="28">
        <v>8</v>
      </c>
      <c r="Y74" s="29" t="e">
        <v>#NULL!</v>
      </c>
      <c r="Z74" s="29" t="e">
        <v>#NULL!</v>
      </c>
      <c r="AA74" s="29" t="e">
        <v>#NULL!</v>
      </c>
      <c r="AB74" s="29" t="e">
        <v>#NULL!</v>
      </c>
      <c r="AC74" t="s">
        <v>258</v>
      </c>
      <c r="AD74" s="28">
        <v>97</v>
      </c>
      <c r="AE74" s="29" t="e">
        <v>#NULL!</v>
      </c>
      <c r="AF74" s="29" t="e">
        <v>#NULL!</v>
      </c>
      <c r="AG74" s="29" t="e">
        <v>#NULL!</v>
      </c>
      <c r="AI74" s="29" t="e">
        <v>#NULL!</v>
      </c>
      <c r="AJ74" s="29" t="e">
        <v>#NULL!</v>
      </c>
      <c r="AK74" s="29" t="e">
        <v>#NULL!</v>
      </c>
      <c r="AL74" s="29" t="e">
        <v>#NULL!</v>
      </c>
      <c r="AM74" t="s">
        <v>258</v>
      </c>
      <c r="AN74" s="28">
        <v>97</v>
      </c>
      <c r="AO74" s="29" t="e">
        <v>#NULL!</v>
      </c>
      <c r="AP74" s="29" t="e">
        <v>#NULL!</v>
      </c>
      <c r="AQ74" s="29" t="e">
        <v>#NULL!</v>
      </c>
      <c r="AS74" s="29" t="e">
        <v>#NULL!</v>
      </c>
      <c r="AT74" s="29" t="e">
        <v>#NULL!</v>
      </c>
      <c r="AU74" s="29" t="e">
        <v>#NULL!</v>
      </c>
      <c r="AV74" s="29" t="e">
        <v>#NULL!</v>
      </c>
      <c r="AW74" t="s">
        <v>258</v>
      </c>
      <c r="AX74" s="28">
        <v>97</v>
      </c>
      <c r="AY74" s="29" t="e">
        <v>#NULL!</v>
      </c>
      <c r="AZ74" s="29" t="e">
        <v>#NULL!</v>
      </c>
      <c r="BA74" s="29" t="e">
        <v>#NULL!</v>
      </c>
      <c r="BC74" s="29" t="e">
        <v>#NULL!</v>
      </c>
      <c r="BD74" s="29" t="e">
        <v>#NULL!</v>
      </c>
      <c r="BE74" s="29" t="e">
        <v>#NULL!</v>
      </c>
      <c r="BF74" s="29" t="e">
        <v>#NULL!</v>
      </c>
      <c r="BG74" t="s">
        <v>258</v>
      </c>
      <c r="BH74" s="28">
        <v>97</v>
      </c>
      <c r="BI74" s="29" t="e">
        <v>#NULL!</v>
      </c>
      <c r="BJ74" s="29" t="e">
        <v>#NULL!</v>
      </c>
      <c r="BK74" s="29" t="e">
        <v>#NULL!</v>
      </c>
      <c r="BL74" s="28">
        <v>2</v>
      </c>
      <c r="BM74" s="28">
        <v>7</v>
      </c>
      <c r="BN74" t="s">
        <v>984</v>
      </c>
      <c r="BO74" s="28">
        <v>99</v>
      </c>
      <c r="BP74" s="29" t="e">
        <v>#NULL!</v>
      </c>
      <c r="BQ74" s="29" t="e">
        <v>#NULL!</v>
      </c>
      <c r="BR74" s="29" t="e">
        <v>#NULL!</v>
      </c>
      <c r="BS74" s="28">
        <v>10</v>
      </c>
      <c r="BT74" t="s">
        <v>258</v>
      </c>
      <c r="BU74" s="28">
        <v>97</v>
      </c>
      <c r="BV74" s="29" t="e">
        <v>#NULL!</v>
      </c>
      <c r="BW74" s="29" t="e">
        <v>#NULL!</v>
      </c>
      <c r="BX74" s="29" t="e">
        <v>#NULL!</v>
      </c>
      <c r="BZ74" s="29" t="e">
        <v>#NULL!</v>
      </c>
      <c r="CA74" s="29" t="e">
        <v>#NULL!</v>
      </c>
      <c r="CB74" s="29" t="e">
        <v>#NULL!</v>
      </c>
      <c r="CC74" s="28">
        <v>2</v>
      </c>
      <c r="CD74" s="29" t="e">
        <v>#NULL!</v>
      </c>
      <c r="CE74" s="28">
        <v>2</v>
      </c>
      <c r="CF74" s="29" t="e">
        <v>#NULL!</v>
      </c>
      <c r="CG74" s="29" t="e">
        <v>#NULL!</v>
      </c>
      <c r="CI74" s="29" t="e">
        <v>#NULL!</v>
      </c>
      <c r="CJ74" s="29" t="e">
        <v>#NULL!</v>
      </c>
      <c r="CK74" s="29" t="e">
        <v>#NULL!</v>
      </c>
      <c r="CL74" s="29" t="e">
        <v>#NULL!</v>
      </c>
      <c r="CN74" s="29" t="e">
        <v>#NULL!</v>
      </c>
      <c r="CO74" s="29" t="e">
        <v>#NULL!</v>
      </c>
      <c r="CP74" s="29" t="e">
        <v>#NULL!</v>
      </c>
      <c r="CQ74" s="28">
        <v>2</v>
      </c>
      <c r="CR74" s="29" t="e">
        <v>#NULL!</v>
      </c>
      <c r="CS74" s="28">
        <v>10</v>
      </c>
      <c r="CT74" s="28">
        <v>10</v>
      </c>
      <c r="CU74" s="28">
        <v>10</v>
      </c>
      <c r="CV74" s="28">
        <v>10</v>
      </c>
      <c r="CW74" s="28">
        <v>10</v>
      </c>
      <c r="CX74" s="28">
        <v>10</v>
      </c>
      <c r="CY74" s="28">
        <v>10</v>
      </c>
      <c r="DA74" s="29" t="e">
        <v>#NULL!</v>
      </c>
      <c r="DB74" s="29" t="e">
        <v>#NULL!</v>
      </c>
      <c r="DC74" s="28">
        <v>10</v>
      </c>
      <c r="DD74" s="29" t="e">
        <v>#NULL!</v>
      </c>
      <c r="DE74" s="29" t="e">
        <v>#NULL!</v>
      </c>
      <c r="DF74" s="29" t="e">
        <v>#NULL!</v>
      </c>
      <c r="DG74" s="29" t="e">
        <v>#NULL!</v>
      </c>
      <c r="DH74" s="29" t="e">
        <v>#NULL!</v>
      </c>
      <c r="DI74" s="29" t="e">
        <v>#NULL!</v>
      </c>
      <c r="DJ74" s="29" t="e">
        <v>#NULL!</v>
      </c>
      <c r="DK74" s="29" t="e">
        <v>#NULL!</v>
      </c>
      <c r="DL74" s="29" t="e">
        <v>#NULL!</v>
      </c>
      <c r="DN74" s="28">
        <v>1</v>
      </c>
      <c r="DP74" s="29" t="e">
        <v>#NULL!</v>
      </c>
      <c r="DQ74" s="29" t="e">
        <v>#NULL!</v>
      </c>
      <c r="DR74" s="29" t="e">
        <v>#NULL!</v>
      </c>
      <c r="DT74" s="29" t="e">
        <v>#NULL!</v>
      </c>
      <c r="DU74" s="29" t="e">
        <v>#NULL!</v>
      </c>
      <c r="DV74" s="29" t="e">
        <v>#NULL!</v>
      </c>
      <c r="DW74" s="28">
        <v>3</v>
      </c>
      <c r="DX74" s="28">
        <v>1</v>
      </c>
      <c r="DY74" t="s">
        <v>985</v>
      </c>
      <c r="DZ74" s="28">
        <v>3</v>
      </c>
      <c r="EA74" s="29" t="e">
        <v>#NULL!</v>
      </c>
      <c r="EI74" s="29" t="e">
        <v>#NULL!</v>
      </c>
      <c r="EJ74" s="29" t="e">
        <v>#NULL!</v>
      </c>
      <c r="EK74" s="29" t="e">
        <v>#NULL!</v>
      </c>
      <c r="EL74" s="29" t="e">
        <v>#NULL!</v>
      </c>
      <c r="EM74" s="28">
        <v>7</v>
      </c>
      <c r="EN74" s="28">
        <v>2</v>
      </c>
      <c r="EP74" s="28">
        <v>6</v>
      </c>
      <c r="EQ74" s="28">
        <v>3</v>
      </c>
      <c r="ER74" s="28">
        <v>1</v>
      </c>
      <c r="ES74" s="28">
        <v>78752</v>
      </c>
      <c r="ET74" s="28">
        <v>1</v>
      </c>
      <c r="EU74" s="28">
        <v>2</v>
      </c>
      <c r="EV74" s="28">
        <v>7</v>
      </c>
      <c r="EW74" s="28">
        <v>5</v>
      </c>
      <c r="EX74" s="28">
        <v>1</v>
      </c>
      <c r="EY74" t="s">
        <v>986</v>
      </c>
      <c r="EZ74" t="s">
        <v>987</v>
      </c>
      <c r="FB74" t="s">
        <v>988</v>
      </c>
      <c r="FC74" t="s">
        <v>989</v>
      </c>
      <c r="FD74" s="29" t="e">
        <v>#NULL!</v>
      </c>
      <c r="FE74" s="29" t="e">
        <v>#NULL!</v>
      </c>
      <c r="FF74" s="28">
        <v>3</v>
      </c>
      <c r="FH74" t="s">
        <v>990</v>
      </c>
      <c r="FI74" t="s">
        <v>991</v>
      </c>
    </row>
    <row r="75" spans="1:165" x14ac:dyDescent="0.15">
      <c r="A75" s="28">
        <v>461</v>
      </c>
      <c r="B75" s="28">
        <v>1</v>
      </c>
      <c r="C75" s="28">
        <v>2</v>
      </c>
      <c r="D75" s="28">
        <v>1</v>
      </c>
      <c r="E75" s="29" t="e">
        <v>#NULL!</v>
      </c>
      <c r="F75" s="28">
        <v>2</v>
      </c>
      <c r="G75" s="28">
        <v>2</v>
      </c>
      <c r="H75" s="28">
        <v>4</v>
      </c>
      <c r="I75" t="s">
        <v>992</v>
      </c>
      <c r="J75" s="28">
        <v>2</v>
      </c>
      <c r="K75" s="28">
        <v>12</v>
      </c>
      <c r="L75" t="s">
        <v>993</v>
      </c>
      <c r="O75" t="s">
        <v>994</v>
      </c>
      <c r="P75" s="28">
        <v>6</v>
      </c>
      <c r="Q75" s="29" t="e">
        <v>#NULL!</v>
      </c>
      <c r="R75" s="29" t="e">
        <v>#NULL!</v>
      </c>
      <c r="S75" s="29" t="e">
        <v>#NULL!</v>
      </c>
      <c r="T75" s="28">
        <v>1</v>
      </c>
      <c r="U75" s="28">
        <v>1</v>
      </c>
      <c r="V75" s="28">
        <v>1</v>
      </c>
      <c r="W75" s="28">
        <v>1</v>
      </c>
      <c r="X75" t="s">
        <v>627</v>
      </c>
      <c r="Y75" s="29" t="e">
        <v>#NULL!</v>
      </c>
      <c r="Z75" s="29" t="e">
        <v>#NULL!</v>
      </c>
      <c r="AA75" s="29" t="e">
        <v>#NULL!</v>
      </c>
      <c r="AB75" s="29" t="e">
        <v>#NULL!</v>
      </c>
      <c r="AD75" s="29" t="e">
        <v>#NULL!</v>
      </c>
      <c r="AE75" s="29" t="e">
        <v>#NULL!</v>
      </c>
      <c r="AF75" s="29" t="e">
        <v>#NULL!</v>
      </c>
      <c r="AG75" s="29" t="e">
        <v>#NULL!</v>
      </c>
      <c r="AH75" t="s">
        <v>627</v>
      </c>
      <c r="AI75" s="29" t="e">
        <v>#NULL!</v>
      </c>
      <c r="AJ75" s="29" t="e">
        <v>#NULL!</v>
      </c>
      <c r="AK75" s="29" t="e">
        <v>#NULL!</v>
      </c>
      <c r="AL75" s="29" t="e">
        <v>#NULL!</v>
      </c>
      <c r="AN75" s="29" t="e">
        <v>#NULL!</v>
      </c>
      <c r="AO75" s="29" t="e">
        <v>#NULL!</v>
      </c>
      <c r="AP75" s="29" t="e">
        <v>#NULL!</v>
      </c>
      <c r="AQ75" s="29" t="e">
        <v>#NULL!</v>
      </c>
      <c r="AR75" t="s">
        <v>627</v>
      </c>
      <c r="AS75" s="29" t="e">
        <v>#NULL!</v>
      </c>
      <c r="AT75" s="29" t="e">
        <v>#NULL!</v>
      </c>
      <c r="AU75" s="29" t="e">
        <v>#NULL!</v>
      </c>
      <c r="AV75" s="29" t="e">
        <v>#NULL!</v>
      </c>
      <c r="AX75" s="29" t="e">
        <v>#NULL!</v>
      </c>
      <c r="AY75" s="29" t="e">
        <v>#NULL!</v>
      </c>
      <c r="AZ75" s="29" t="e">
        <v>#NULL!</v>
      </c>
      <c r="BA75" s="29" t="e">
        <v>#NULL!</v>
      </c>
      <c r="BB75" t="s">
        <v>627</v>
      </c>
      <c r="BC75" s="29" t="e">
        <v>#NULL!</v>
      </c>
      <c r="BD75" s="29" t="e">
        <v>#NULL!</v>
      </c>
      <c r="BE75" s="29" t="e">
        <v>#NULL!</v>
      </c>
      <c r="BF75" s="29" t="e">
        <v>#NULL!</v>
      </c>
      <c r="BH75" s="29" t="e">
        <v>#NULL!</v>
      </c>
      <c r="BI75" s="29" t="e">
        <v>#NULL!</v>
      </c>
      <c r="BJ75" s="29" t="e">
        <v>#NULL!</v>
      </c>
      <c r="BK75" s="29" t="e">
        <v>#NULL!</v>
      </c>
      <c r="BL75" s="28">
        <v>2</v>
      </c>
      <c r="BM75" s="28">
        <v>8</v>
      </c>
      <c r="BN75" t="s">
        <v>467</v>
      </c>
      <c r="BO75" s="28">
        <v>98</v>
      </c>
      <c r="BP75" s="29" t="e">
        <v>#NULL!</v>
      </c>
      <c r="BQ75" s="29" t="e">
        <v>#NULL!</v>
      </c>
      <c r="BR75" s="29" t="e">
        <v>#NULL!</v>
      </c>
      <c r="BS75" s="28">
        <v>10</v>
      </c>
      <c r="BT75" t="s">
        <v>995</v>
      </c>
      <c r="BU75" s="28">
        <v>99</v>
      </c>
      <c r="BV75" s="29" t="e">
        <v>#NULL!</v>
      </c>
      <c r="BW75" s="29" t="e">
        <v>#NULL!</v>
      </c>
      <c r="BX75" s="29" t="e">
        <v>#NULL!</v>
      </c>
      <c r="BZ75" s="29" t="e">
        <v>#NULL!</v>
      </c>
      <c r="CA75" s="29" t="e">
        <v>#NULL!</v>
      </c>
      <c r="CB75" s="29" t="e">
        <v>#NULL!</v>
      </c>
      <c r="CC75" s="28">
        <v>1</v>
      </c>
      <c r="CD75" s="28">
        <v>1</v>
      </c>
      <c r="CE75" s="28">
        <v>1</v>
      </c>
      <c r="CF75" s="28">
        <v>2</v>
      </c>
      <c r="CG75" s="29" t="e">
        <v>#NULL!</v>
      </c>
      <c r="CI75" s="29" t="e">
        <v>#NULL!</v>
      </c>
      <c r="CJ75" s="29" t="e">
        <v>#NULL!</v>
      </c>
      <c r="CK75" s="29" t="e">
        <v>#NULL!</v>
      </c>
      <c r="CL75" s="29" t="e">
        <v>#NULL!</v>
      </c>
      <c r="CN75" s="29" t="e">
        <v>#NULL!</v>
      </c>
      <c r="CO75" s="29" t="e">
        <v>#NULL!</v>
      </c>
      <c r="CP75" s="29" t="e">
        <v>#NULL!</v>
      </c>
      <c r="CQ75" s="28">
        <v>1</v>
      </c>
      <c r="CR75" s="28">
        <v>1</v>
      </c>
      <c r="CS75" s="28">
        <v>7</v>
      </c>
      <c r="CT75" s="28">
        <v>1</v>
      </c>
      <c r="CU75" s="28">
        <v>1</v>
      </c>
      <c r="CV75" s="28">
        <v>1</v>
      </c>
      <c r="CW75" s="28">
        <v>7</v>
      </c>
      <c r="CX75" s="28">
        <v>1</v>
      </c>
      <c r="CY75" s="28">
        <v>1</v>
      </c>
      <c r="CZ75" t="s">
        <v>996</v>
      </c>
      <c r="DA75" s="28">
        <v>5</v>
      </c>
      <c r="DB75" s="29" t="e">
        <v>#NULL!</v>
      </c>
      <c r="DC75" s="28">
        <v>1</v>
      </c>
      <c r="DD75" s="28">
        <v>0</v>
      </c>
      <c r="DE75" s="28">
        <v>1</v>
      </c>
      <c r="DF75" s="28">
        <v>0</v>
      </c>
      <c r="DG75" s="28">
        <v>0</v>
      </c>
      <c r="DH75" s="28">
        <v>0</v>
      </c>
      <c r="DI75" s="28">
        <v>0</v>
      </c>
      <c r="DJ75" s="28">
        <v>0</v>
      </c>
      <c r="DK75" s="28">
        <v>0</v>
      </c>
      <c r="DL75" s="28">
        <v>0</v>
      </c>
      <c r="DN75" s="28">
        <v>2</v>
      </c>
      <c r="DO75" t="s">
        <v>997</v>
      </c>
      <c r="DP75" s="28">
        <v>5</v>
      </c>
      <c r="DQ75" s="29" t="e">
        <v>#NULL!</v>
      </c>
      <c r="DR75" s="29" t="e">
        <v>#NULL!</v>
      </c>
      <c r="DT75" s="29" t="e">
        <v>#NULL!</v>
      </c>
      <c r="DU75" s="29" t="e">
        <v>#NULL!</v>
      </c>
      <c r="DV75" s="29" t="e">
        <v>#NULL!</v>
      </c>
      <c r="DW75" s="28">
        <v>1</v>
      </c>
      <c r="DX75" s="28">
        <v>2</v>
      </c>
      <c r="DZ75" s="29" t="e">
        <v>#NULL!</v>
      </c>
      <c r="EA75" s="29" t="e">
        <v>#NULL!</v>
      </c>
      <c r="EI75" s="29" t="e">
        <v>#NULL!</v>
      </c>
      <c r="EJ75" s="29" t="e">
        <v>#NULL!</v>
      </c>
      <c r="EK75" s="29" t="e">
        <v>#NULL!</v>
      </c>
      <c r="EL75" s="29" t="e">
        <v>#NULL!</v>
      </c>
      <c r="EM75" s="28">
        <v>8</v>
      </c>
      <c r="EN75" s="28">
        <v>7</v>
      </c>
      <c r="EP75" s="28">
        <v>6</v>
      </c>
      <c r="EQ75" s="28">
        <v>2</v>
      </c>
      <c r="ER75" s="28">
        <v>3</v>
      </c>
      <c r="ES75" s="28">
        <v>78734</v>
      </c>
      <c r="ET75" s="28">
        <v>7</v>
      </c>
      <c r="EU75" s="28">
        <v>6</v>
      </c>
      <c r="EV75" s="28">
        <v>8</v>
      </c>
      <c r="EW75" s="28">
        <v>5</v>
      </c>
      <c r="EX75" s="28">
        <v>4</v>
      </c>
      <c r="EY75" t="s">
        <v>735</v>
      </c>
      <c r="EZ75" t="s">
        <v>998</v>
      </c>
      <c r="FB75" t="s">
        <v>999</v>
      </c>
      <c r="FC75" t="s">
        <v>1000</v>
      </c>
      <c r="FD75" s="29" t="e">
        <v>#NULL!</v>
      </c>
      <c r="FE75" s="29" t="e">
        <v>#NULL!</v>
      </c>
      <c r="FF75" s="28">
        <v>3</v>
      </c>
      <c r="FH75" t="s">
        <v>1001</v>
      </c>
      <c r="FI75" t="s">
        <v>1002</v>
      </c>
    </row>
    <row r="76" spans="1:165" x14ac:dyDescent="0.15">
      <c r="A76" s="28">
        <v>470</v>
      </c>
      <c r="B76" s="28">
        <v>1</v>
      </c>
      <c r="C76" s="28">
        <v>2</v>
      </c>
      <c r="D76" s="28">
        <v>1</v>
      </c>
      <c r="E76" s="29" t="e">
        <v>#NULL!</v>
      </c>
      <c r="F76" s="28">
        <v>2</v>
      </c>
      <c r="G76" s="28">
        <v>2</v>
      </c>
      <c r="H76" s="28">
        <v>4</v>
      </c>
      <c r="I76" t="s">
        <v>1003</v>
      </c>
      <c r="J76" s="28">
        <v>1</v>
      </c>
      <c r="K76" s="28">
        <v>38</v>
      </c>
      <c r="N76" t="s">
        <v>1004</v>
      </c>
      <c r="P76" s="29" t="e">
        <v>#NULL!</v>
      </c>
      <c r="Q76" s="29" t="e">
        <v>#NULL!</v>
      </c>
      <c r="R76" s="29" t="e">
        <v>#NULL!</v>
      </c>
      <c r="S76" s="29" t="e">
        <v>#NULL!</v>
      </c>
      <c r="T76" s="28">
        <v>5</v>
      </c>
      <c r="U76" s="28">
        <v>5</v>
      </c>
      <c r="V76" s="28">
        <v>2</v>
      </c>
      <c r="W76" s="28">
        <v>5</v>
      </c>
      <c r="Y76" s="29" t="e">
        <v>#NULL!</v>
      </c>
      <c r="Z76" s="29" t="e">
        <v>#NULL!</v>
      </c>
      <c r="AA76" s="29" t="e">
        <v>#NULL!</v>
      </c>
      <c r="AB76" s="29" t="e">
        <v>#NULL!</v>
      </c>
      <c r="AD76" s="29" t="e">
        <v>#NULL!</v>
      </c>
      <c r="AE76" s="29" t="e">
        <v>#NULL!</v>
      </c>
      <c r="AF76" s="29" t="e">
        <v>#NULL!</v>
      </c>
      <c r="AG76" s="29" t="e">
        <v>#NULL!</v>
      </c>
      <c r="AI76" s="29" t="e">
        <v>#NULL!</v>
      </c>
      <c r="AJ76" s="29" t="e">
        <v>#NULL!</v>
      </c>
      <c r="AK76" s="29" t="e">
        <v>#NULL!</v>
      </c>
      <c r="AL76" s="29" t="e">
        <v>#NULL!</v>
      </c>
      <c r="AN76" s="29" t="e">
        <v>#NULL!</v>
      </c>
      <c r="AO76" s="29" t="e">
        <v>#NULL!</v>
      </c>
      <c r="AP76" s="29" t="e">
        <v>#NULL!</v>
      </c>
      <c r="AQ76" s="29" t="e">
        <v>#NULL!</v>
      </c>
      <c r="AR76" t="s">
        <v>1005</v>
      </c>
      <c r="AS76" s="28">
        <v>3</v>
      </c>
      <c r="AT76" s="29" t="e">
        <v>#NULL!</v>
      </c>
      <c r="AU76" s="29" t="e">
        <v>#NULL!</v>
      </c>
      <c r="AV76" s="29" t="e">
        <v>#NULL!</v>
      </c>
      <c r="AX76" s="29" t="e">
        <v>#NULL!</v>
      </c>
      <c r="AY76" s="29" t="e">
        <v>#NULL!</v>
      </c>
      <c r="AZ76" s="29" t="e">
        <v>#NULL!</v>
      </c>
      <c r="BA76" s="29" t="e">
        <v>#NULL!</v>
      </c>
      <c r="BC76" s="29" t="e">
        <v>#NULL!</v>
      </c>
      <c r="BD76" s="29" t="e">
        <v>#NULL!</v>
      </c>
      <c r="BE76" s="29" t="e">
        <v>#NULL!</v>
      </c>
      <c r="BF76" s="29" t="e">
        <v>#NULL!</v>
      </c>
      <c r="BH76" s="29" t="e">
        <v>#NULL!</v>
      </c>
      <c r="BI76" s="29" t="e">
        <v>#NULL!</v>
      </c>
      <c r="BJ76" s="29" t="e">
        <v>#NULL!</v>
      </c>
      <c r="BK76" s="29" t="e">
        <v>#NULL!</v>
      </c>
      <c r="BL76" s="28">
        <v>5</v>
      </c>
      <c r="BM76" s="28">
        <v>10</v>
      </c>
      <c r="BN76" t="s">
        <v>1006</v>
      </c>
      <c r="BO76" s="28">
        <v>98</v>
      </c>
      <c r="BP76" s="29" t="e">
        <v>#NULL!</v>
      </c>
      <c r="BQ76" s="29" t="e">
        <v>#NULL!</v>
      </c>
      <c r="BR76" s="29" t="e">
        <v>#NULL!</v>
      </c>
      <c r="BS76" s="28">
        <v>9</v>
      </c>
      <c r="BT76" t="s">
        <v>1007</v>
      </c>
      <c r="BU76" s="28">
        <v>7</v>
      </c>
      <c r="BV76" s="29" t="e">
        <v>#NULL!</v>
      </c>
      <c r="BW76" s="29" t="e">
        <v>#NULL!</v>
      </c>
      <c r="BX76" s="29" t="e">
        <v>#NULL!</v>
      </c>
      <c r="BZ76" s="29" t="e">
        <v>#NULL!</v>
      </c>
      <c r="CA76" s="29" t="e">
        <v>#NULL!</v>
      </c>
      <c r="CB76" s="29" t="e">
        <v>#NULL!</v>
      </c>
      <c r="CC76" s="28">
        <v>1</v>
      </c>
      <c r="CD76" s="28">
        <v>5</v>
      </c>
      <c r="CE76" s="28">
        <v>1</v>
      </c>
      <c r="CF76" s="28">
        <v>1</v>
      </c>
      <c r="CG76" s="28">
        <v>2</v>
      </c>
      <c r="CH76" t="s">
        <v>1008</v>
      </c>
      <c r="CI76" s="28">
        <v>4</v>
      </c>
      <c r="CJ76" s="29" t="e">
        <v>#NULL!</v>
      </c>
      <c r="CK76" s="29" t="e">
        <v>#NULL!</v>
      </c>
      <c r="CL76" s="28">
        <v>5</v>
      </c>
      <c r="CM76" t="s">
        <v>1009</v>
      </c>
      <c r="CN76" s="28">
        <v>7</v>
      </c>
      <c r="CO76" s="29" t="e">
        <v>#NULL!</v>
      </c>
      <c r="CP76" s="29" t="e">
        <v>#NULL!</v>
      </c>
      <c r="CQ76" s="28">
        <v>1</v>
      </c>
      <c r="CR76" s="28">
        <v>7</v>
      </c>
      <c r="CS76" s="28">
        <v>8</v>
      </c>
      <c r="CT76" s="28">
        <v>8</v>
      </c>
      <c r="CU76" s="28">
        <v>8</v>
      </c>
      <c r="CV76" s="28">
        <v>2</v>
      </c>
      <c r="CW76" s="28">
        <v>11</v>
      </c>
      <c r="CX76" s="28">
        <v>8</v>
      </c>
      <c r="CY76" s="28">
        <v>11</v>
      </c>
      <c r="CZ76" t="s">
        <v>1010</v>
      </c>
      <c r="DA76" s="28">
        <v>4</v>
      </c>
      <c r="DB76" s="29" t="e">
        <v>#NULL!</v>
      </c>
      <c r="DC76" s="28">
        <v>7</v>
      </c>
      <c r="DD76" s="28">
        <v>0</v>
      </c>
      <c r="DE76" s="28">
        <v>0</v>
      </c>
      <c r="DF76" s="28">
        <v>0</v>
      </c>
      <c r="DG76" s="28">
        <v>0</v>
      </c>
      <c r="DH76" s="28">
        <v>0</v>
      </c>
      <c r="DI76" s="28">
        <v>1</v>
      </c>
      <c r="DJ76" s="28">
        <v>0</v>
      </c>
      <c r="DK76" s="28">
        <v>0</v>
      </c>
      <c r="DL76" s="28">
        <v>0</v>
      </c>
      <c r="DN76" s="28">
        <v>1</v>
      </c>
      <c r="DP76" s="29" t="e">
        <v>#NULL!</v>
      </c>
      <c r="DQ76" s="29" t="e">
        <v>#NULL!</v>
      </c>
      <c r="DR76" s="29" t="e">
        <v>#NULL!</v>
      </c>
      <c r="DT76" s="29" t="e">
        <v>#NULL!</v>
      </c>
      <c r="DU76" s="29" t="e">
        <v>#NULL!</v>
      </c>
      <c r="DV76" s="29" t="e">
        <v>#NULL!</v>
      </c>
      <c r="DW76" s="28">
        <v>1</v>
      </c>
      <c r="DX76" s="28">
        <v>2</v>
      </c>
      <c r="DZ76" s="29" t="e">
        <v>#NULL!</v>
      </c>
      <c r="EA76" s="29" t="e">
        <v>#NULL!</v>
      </c>
      <c r="EI76" s="29" t="e">
        <v>#NULL!</v>
      </c>
      <c r="EJ76" s="29" t="e">
        <v>#NULL!</v>
      </c>
      <c r="EK76" s="29" t="e">
        <v>#NULL!</v>
      </c>
      <c r="EL76" s="29" t="e">
        <v>#NULL!</v>
      </c>
      <c r="EM76" s="28">
        <v>8</v>
      </c>
      <c r="EN76" s="28">
        <v>1</v>
      </c>
      <c r="EP76" s="28">
        <v>1</v>
      </c>
      <c r="EQ76" s="28">
        <v>3</v>
      </c>
      <c r="ER76" s="28">
        <v>1</v>
      </c>
      <c r="ES76" s="28">
        <v>99999</v>
      </c>
      <c r="ET76" s="28">
        <v>1</v>
      </c>
      <c r="EU76" s="28">
        <v>4</v>
      </c>
      <c r="EV76" s="28">
        <v>8</v>
      </c>
      <c r="EW76" s="28">
        <v>5</v>
      </c>
      <c r="EX76" s="28">
        <v>2</v>
      </c>
      <c r="EY76" t="s">
        <v>1011</v>
      </c>
      <c r="EZ76" t="s">
        <v>1012</v>
      </c>
      <c r="FB76" t="s">
        <v>1013</v>
      </c>
      <c r="FC76" t="s">
        <v>533</v>
      </c>
      <c r="FD76" s="29" t="e">
        <v>#NULL!</v>
      </c>
      <c r="FE76" s="29" t="e">
        <v>#NULL!</v>
      </c>
      <c r="FF76" s="28">
        <v>3</v>
      </c>
      <c r="FH76" t="s">
        <v>1014</v>
      </c>
      <c r="FI76" t="s">
        <v>1015</v>
      </c>
    </row>
    <row r="77" spans="1:165" x14ac:dyDescent="0.15">
      <c r="A77" s="28">
        <v>471</v>
      </c>
      <c r="B77" s="28">
        <v>1</v>
      </c>
      <c r="C77" s="28">
        <v>2</v>
      </c>
      <c r="D77" s="28">
        <v>1</v>
      </c>
      <c r="E77" s="29" t="e">
        <v>#NULL!</v>
      </c>
      <c r="F77" s="28">
        <v>3</v>
      </c>
      <c r="G77" s="28">
        <v>2</v>
      </c>
      <c r="H77" s="28">
        <v>4</v>
      </c>
      <c r="I77" t="s">
        <v>1016</v>
      </c>
      <c r="J77" s="28">
        <v>1</v>
      </c>
      <c r="K77" s="28">
        <v>14</v>
      </c>
      <c r="N77" t="s">
        <v>1017</v>
      </c>
      <c r="P77" s="29" t="e">
        <v>#NULL!</v>
      </c>
      <c r="Q77" s="29" t="e">
        <v>#NULL!</v>
      </c>
      <c r="R77" s="29" t="e">
        <v>#NULL!</v>
      </c>
      <c r="S77" s="29" t="e">
        <v>#NULL!</v>
      </c>
      <c r="T77" s="28">
        <v>1</v>
      </c>
      <c r="U77" s="28">
        <v>1</v>
      </c>
      <c r="V77" s="28">
        <v>1</v>
      </c>
      <c r="W77" s="28">
        <v>1</v>
      </c>
      <c r="X77" t="s">
        <v>1018</v>
      </c>
      <c r="Y77" s="28">
        <v>2</v>
      </c>
      <c r="Z77" s="29" t="e">
        <v>#NULL!</v>
      </c>
      <c r="AA77" s="29" t="e">
        <v>#NULL!</v>
      </c>
      <c r="AB77" s="29" t="e">
        <v>#NULL!</v>
      </c>
      <c r="AD77" s="29" t="e">
        <v>#NULL!</v>
      </c>
      <c r="AE77" s="29" t="e">
        <v>#NULL!</v>
      </c>
      <c r="AF77" s="29" t="e">
        <v>#NULL!</v>
      </c>
      <c r="AG77" s="29" t="e">
        <v>#NULL!</v>
      </c>
      <c r="AH77" t="s">
        <v>1018</v>
      </c>
      <c r="AI77" s="28">
        <v>3</v>
      </c>
      <c r="AJ77" s="29" t="e">
        <v>#NULL!</v>
      </c>
      <c r="AK77" s="29" t="e">
        <v>#NULL!</v>
      </c>
      <c r="AL77" s="29" t="e">
        <v>#NULL!</v>
      </c>
      <c r="AN77" s="29" t="e">
        <v>#NULL!</v>
      </c>
      <c r="AO77" s="29" t="e">
        <v>#NULL!</v>
      </c>
      <c r="AP77" s="29" t="e">
        <v>#NULL!</v>
      </c>
      <c r="AQ77" s="29" t="e">
        <v>#NULL!</v>
      </c>
      <c r="AR77" t="s">
        <v>1018</v>
      </c>
      <c r="AS77" s="28">
        <v>2</v>
      </c>
      <c r="AT77" s="28">
        <v>3</v>
      </c>
      <c r="AU77" s="29" t="e">
        <v>#NULL!</v>
      </c>
      <c r="AV77" s="29" t="e">
        <v>#NULL!</v>
      </c>
      <c r="AX77" s="29" t="e">
        <v>#NULL!</v>
      </c>
      <c r="AY77" s="29" t="e">
        <v>#NULL!</v>
      </c>
      <c r="AZ77" s="29" t="e">
        <v>#NULL!</v>
      </c>
      <c r="BA77" s="29" t="e">
        <v>#NULL!</v>
      </c>
      <c r="BB77" t="s">
        <v>1018</v>
      </c>
      <c r="BC77" s="28">
        <v>2</v>
      </c>
      <c r="BD77" s="29" t="e">
        <v>#NULL!</v>
      </c>
      <c r="BE77" s="29" t="e">
        <v>#NULL!</v>
      </c>
      <c r="BF77" s="29" t="e">
        <v>#NULL!</v>
      </c>
      <c r="BH77" s="29" t="e">
        <v>#NULL!</v>
      </c>
      <c r="BI77" s="29" t="e">
        <v>#NULL!</v>
      </c>
      <c r="BJ77" s="29" t="e">
        <v>#NULL!</v>
      </c>
      <c r="BK77" s="29" t="e">
        <v>#NULL!</v>
      </c>
      <c r="BL77" s="28">
        <v>3</v>
      </c>
      <c r="BM77" s="28">
        <v>11</v>
      </c>
      <c r="BO77" s="29" t="e">
        <v>#NULL!</v>
      </c>
      <c r="BP77" s="29" t="e">
        <v>#NULL!</v>
      </c>
      <c r="BQ77" s="29" t="e">
        <v>#NULL!</v>
      </c>
      <c r="BR77" s="29" t="e">
        <v>#NULL!</v>
      </c>
      <c r="BS77" s="29" t="e">
        <v>#NULL!</v>
      </c>
      <c r="BU77" s="29" t="e">
        <v>#NULL!</v>
      </c>
      <c r="BV77" s="29" t="e">
        <v>#NULL!</v>
      </c>
      <c r="BW77" s="29" t="e">
        <v>#NULL!</v>
      </c>
      <c r="BX77" s="29" t="e">
        <v>#NULL!</v>
      </c>
      <c r="BZ77" s="29" t="e">
        <v>#NULL!</v>
      </c>
      <c r="CA77" s="29" t="e">
        <v>#NULL!</v>
      </c>
      <c r="CB77" s="29" t="e">
        <v>#NULL!</v>
      </c>
      <c r="CC77" s="29" t="e">
        <v>#NULL!</v>
      </c>
      <c r="CD77" s="29" t="e">
        <v>#NULL!</v>
      </c>
      <c r="CE77" s="29" t="e">
        <v>#NULL!</v>
      </c>
      <c r="CF77" s="29" t="e">
        <v>#NULL!</v>
      </c>
      <c r="CG77" s="29" t="e">
        <v>#NULL!</v>
      </c>
      <c r="CI77" s="29" t="e">
        <v>#NULL!</v>
      </c>
      <c r="CJ77" s="29" t="e">
        <v>#NULL!</v>
      </c>
      <c r="CK77" s="29" t="e">
        <v>#NULL!</v>
      </c>
      <c r="CL77" s="29" t="e">
        <v>#NULL!</v>
      </c>
      <c r="CN77" s="29" t="e">
        <v>#NULL!</v>
      </c>
      <c r="CO77" s="29" t="e">
        <v>#NULL!</v>
      </c>
      <c r="CP77" s="29" t="e">
        <v>#NULL!</v>
      </c>
      <c r="CQ77" s="29" t="e">
        <v>#NULL!</v>
      </c>
      <c r="CR77" s="29" t="e">
        <v>#NULL!</v>
      </c>
      <c r="CS77" s="29" t="e">
        <v>#NULL!</v>
      </c>
      <c r="CT77" s="29" t="e">
        <v>#NULL!</v>
      </c>
      <c r="CU77" s="29" t="e">
        <v>#NULL!</v>
      </c>
      <c r="CV77" s="29" t="e">
        <v>#NULL!</v>
      </c>
      <c r="CW77" s="29" t="e">
        <v>#NULL!</v>
      </c>
      <c r="CX77" s="29" t="e">
        <v>#NULL!</v>
      </c>
      <c r="CY77" s="29" t="e">
        <v>#NULL!</v>
      </c>
      <c r="DA77" s="29" t="e">
        <v>#NULL!</v>
      </c>
      <c r="DB77" s="29" t="e">
        <v>#NULL!</v>
      </c>
      <c r="DC77" s="28">
        <v>1</v>
      </c>
      <c r="DD77" s="28">
        <v>0</v>
      </c>
      <c r="DE77" s="28">
        <v>0</v>
      </c>
      <c r="DF77" s="28">
        <v>0</v>
      </c>
      <c r="DG77" s="28">
        <v>0</v>
      </c>
      <c r="DH77" s="28">
        <v>0</v>
      </c>
      <c r="DI77" s="28">
        <v>0</v>
      </c>
      <c r="DJ77" s="28">
        <v>0</v>
      </c>
      <c r="DK77" s="28">
        <v>0</v>
      </c>
      <c r="DL77" s="28">
        <v>1</v>
      </c>
      <c r="DM77" t="s">
        <v>1019</v>
      </c>
      <c r="DN77" s="28">
        <v>2</v>
      </c>
      <c r="DO77" t="s">
        <v>1020</v>
      </c>
      <c r="DP77" s="28">
        <v>9</v>
      </c>
      <c r="DQ77" s="29" t="e">
        <v>#NULL!</v>
      </c>
      <c r="DR77" s="29" t="e">
        <v>#NULL!</v>
      </c>
      <c r="DT77" s="29" t="e">
        <v>#NULL!</v>
      </c>
      <c r="DU77" s="29" t="e">
        <v>#NULL!</v>
      </c>
      <c r="DV77" s="29" t="e">
        <v>#NULL!</v>
      </c>
      <c r="DW77" s="28">
        <v>1</v>
      </c>
      <c r="DX77" s="28">
        <v>3</v>
      </c>
      <c r="DZ77" s="29" t="e">
        <v>#NULL!</v>
      </c>
      <c r="EA77" s="29" t="e">
        <v>#NULL!</v>
      </c>
      <c r="EI77" s="29" t="e">
        <v>#NULL!</v>
      </c>
      <c r="EJ77" s="29" t="e">
        <v>#NULL!</v>
      </c>
      <c r="EK77" s="29" t="e">
        <v>#NULL!</v>
      </c>
      <c r="EL77" s="29" t="e">
        <v>#NULL!</v>
      </c>
      <c r="EM77" s="28">
        <v>10</v>
      </c>
      <c r="EN77" s="28">
        <v>1</v>
      </c>
      <c r="EP77" s="28">
        <v>5</v>
      </c>
      <c r="EQ77" s="28">
        <v>4</v>
      </c>
      <c r="ER77" s="28">
        <v>2</v>
      </c>
      <c r="ES77" s="28">
        <v>78759</v>
      </c>
      <c r="ET77" s="28">
        <v>1</v>
      </c>
      <c r="EU77" s="28">
        <v>5</v>
      </c>
      <c r="EV77" s="28">
        <v>8</v>
      </c>
      <c r="EW77" s="28">
        <v>5</v>
      </c>
      <c r="EX77" s="28">
        <v>2</v>
      </c>
      <c r="EY77" t="s">
        <v>1021</v>
      </c>
      <c r="EZ77" t="s">
        <v>1022</v>
      </c>
      <c r="FB77" t="s">
        <v>1023</v>
      </c>
      <c r="FC77" t="s">
        <v>1024</v>
      </c>
      <c r="FD77" s="29" t="e">
        <v>#NULL!</v>
      </c>
      <c r="FE77" s="29" t="e">
        <v>#NULL!</v>
      </c>
      <c r="FF77" s="28">
        <v>2</v>
      </c>
      <c r="FH77" t="s">
        <v>1025</v>
      </c>
      <c r="FI77" t="s">
        <v>1026</v>
      </c>
    </row>
    <row r="78" spans="1:165" x14ac:dyDescent="0.15">
      <c r="A78" s="28">
        <v>482</v>
      </c>
      <c r="B78" s="28">
        <v>1</v>
      </c>
      <c r="C78" s="28">
        <v>2</v>
      </c>
      <c r="D78" s="28">
        <v>1</v>
      </c>
      <c r="E78" s="29" t="e">
        <v>#NULL!</v>
      </c>
      <c r="F78" s="28">
        <v>2</v>
      </c>
      <c r="G78" s="28">
        <v>2</v>
      </c>
      <c r="H78" s="28">
        <v>2</v>
      </c>
      <c r="J78" s="28">
        <v>1</v>
      </c>
      <c r="K78" s="28">
        <v>3</v>
      </c>
      <c r="P78" s="29" t="e">
        <v>#NULL!</v>
      </c>
      <c r="Q78" s="29" t="e">
        <v>#NULL!</v>
      </c>
      <c r="R78" s="29" t="e">
        <v>#NULL!</v>
      </c>
      <c r="S78" s="29" t="e">
        <v>#NULL!</v>
      </c>
      <c r="T78" s="28">
        <v>3</v>
      </c>
      <c r="U78" s="28">
        <v>3</v>
      </c>
      <c r="V78" s="28">
        <v>3</v>
      </c>
      <c r="W78" s="28">
        <v>3</v>
      </c>
      <c r="X78" t="s">
        <v>1027</v>
      </c>
      <c r="Y78" s="28">
        <v>5</v>
      </c>
      <c r="Z78" s="29" t="e">
        <v>#NULL!</v>
      </c>
      <c r="AA78" s="29" t="e">
        <v>#NULL!</v>
      </c>
      <c r="AB78" s="29" t="e">
        <v>#NULL!</v>
      </c>
      <c r="AD78" s="29" t="e">
        <v>#NULL!</v>
      </c>
      <c r="AE78" s="29" t="e">
        <v>#NULL!</v>
      </c>
      <c r="AF78" s="29" t="e">
        <v>#NULL!</v>
      </c>
      <c r="AG78" s="29" t="e">
        <v>#NULL!</v>
      </c>
      <c r="AH78" t="s">
        <v>1027</v>
      </c>
      <c r="AI78" s="28">
        <v>9</v>
      </c>
      <c r="AJ78" s="29" t="e">
        <v>#NULL!</v>
      </c>
      <c r="AK78" s="29" t="e">
        <v>#NULL!</v>
      </c>
      <c r="AL78" s="29" t="e">
        <v>#NULL!</v>
      </c>
      <c r="AN78" s="29" t="e">
        <v>#NULL!</v>
      </c>
      <c r="AO78" s="29" t="e">
        <v>#NULL!</v>
      </c>
      <c r="AP78" s="29" t="e">
        <v>#NULL!</v>
      </c>
      <c r="AQ78" s="29" t="e">
        <v>#NULL!</v>
      </c>
      <c r="AR78" t="s">
        <v>1027</v>
      </c>
      <c r="AS78" s="28">
        <v>5</v>
      </c>
      <c r="AT78" s="29" t="e">
        <v>#NULL!</v>
      </c>
      <c r="AU78" s="29" t="e">
        <v>#NULL!</v>
      </c>
      <c r="AV78" s="29" t="e">
        <v>#NULL!</v>
      </c>
      <c r="AX78" s="29" t="e">
        <v>#NULL!</v>
      </c>
      <c r="AY78" s="29" t="e">
        <v>#NULL!</v>
      </c>
      <c r="AZ78" s="29" t="e">
        <v>#NULL!</v>
      </c>
      <c r="BA78" s="29" t="e">
        <v>#NULL!</v>
      </c>
      <c r="BB78" t="s">
        <v>1027</v>
      </c>
      <c r="BC78" s="28">
        <v>5</v>
      </c>
      <c r="BD78" s="29" t="e">
        <v>#NULL!</v>
      </c>
      <c r="BE78" s="29" t="e">
        <v>#NULL!</v>
      </c>
      <c r="BF78" s="29" t="e">
        <v>#NULL!</v>
      </c>
      <c r="BH78" s="29" t="e">
        <v>#NULL!</v>
      </c>
      <c r="BI78" s="29" t="e">
        <v>#NULL!</v>
      </c>
      <c r="BJ78" s="29" t="e">
        <v>#NULL!</v>
      </c>
      <c r="BK78" s="29" t="e">
        <v>#NULL!</v>
      </c>
      <c r="BL78" s="28">
        <v>2</v>
      </c>
      <c r="BM78" s="28">
        <v>9</v>
      </c>
      <c r="BN78" t="s">
        <v>1028</v>
      </c>
      <c r="BO78" s="28">
        <v>3</v>
      </c>
      <c r="BP78" s="29" t="e">
        <v>#NULL!</v>
      </c>
      <c r="BQ78" s="29" t="e">
        <v>#NULL!</v>
      </c>
      <c r="BR78" s="29" t="e">
        <v>#NULL!</v>
      </c>
      <c r="BS78" s="28">
        <v>10</v>
      </c>
      <c r="BT78" t="s">
        <v>1029</v>
      </c>
      <c r="BU78" s="28">
        <v>1</v>
      </c>
      <c r="BV78" s="29" t="e">
        <v>#NULL!</v>
      </c>
      <c r="BW78" s="29" t="e">
        <v>#NULL!</v>
      </c>
      <c r="BX78" s="29" t="e">
        <v>#NULL!</v>
      </c>
      <c r="BZ78" s="29" t="e">
        <v>#NULL!</v>
      </c>
      <c r="CA78" s="29" t="e">
        <v>#NULL!</v>
      </c>
      <c r="CB78" s="29" t="e">
        <v>#NULL!</v>
      </c>
      <c r="CC78" s="28">
        <v>2</v>
      </c>
      <c r="CD78" s="29" t="e">
        <v>#NULL!</v>
      </c>
      <c r="CE78" s="28">
        <v>2</v>
      </c>
      <c r="CF78" s="29" t="e">
        <v>#NULL!</v>
      </c>
      <c r="CG78" s="29" t="e">
        <v>#NULL!</v>
      </c>
      <c r="CI78" s="29" t="e">
        <v>#NULL!</v>
      </c>
      <c r="CJ78" s="29" t="e">
        <v>#NULL!</v>
      </c>
      <c r="CK78" s="29" t="e">
        <v>#NULL!</v>
      </c>
      <c r="CL78" s="29" t="e">
        <v>#NULL!</v>
      </c>
      <c r="CN78" s="29" t="e">
        <v>#NULL!</v>
      </c>
      <c r="CO78" s="29" t="e">
        <v>#NULL!</v>
      </c>
      <c r="CP78" s="29" t="e">
        <v>#NULL!</v>
      </c>
      <c r="CQ78" s="28">
        <v>2</v>
      </c>
      <c r="CR78" s="29" t="e">
        <v>#NULL!</v>
      </c>
      <c r="CS78" s="28">
        <v>10</v>
      </c>
      <c r="CT78" s="28">
        <v>11</v>
      </c>
      <c r="CU78" s="28">
        <v>10</v>
      </c>
      <c r="CV78" s="28">
        <v>11</v>
      </c>
      <c r="CW78" s="28">
        <v>11</v>
      </c>
      <c r="CX78" s="28">
        <v>10</v>
      </c>
      <c r="CY78" s="28">
        <v>11</v>
      </c>
      <c r="DA78" s="29" t="e">
        <v>#NULL!</v>
      </c>
      <c r="DB78" s="29" t="e">
        <v>#NULL!</v>
      </c>
      <c r="DC78" s="28">
        <v>9</v>
      </c>
      <c r="DD78" s="29" t="e">
        <v>#NULL!</v>
      </c>
      <c r="DE78" s="29" t="e">
        <v>#NULL!</v>
      </c>
      <c r="DF78" s="29" t="e">
        <v>#NULL!</v>
      </c>
      <c r="DG78" s="29" t="e">
        <v>#NULL!</v>
      </c>
      <c r="DH78" s="29" t="e">
        <v>#NULL!</v>
      </c>
      <c r="DI78" s="29" t="e">
        <v>#NULL!</v>
      </c>
      <c r="DJ78" s="29" t="e">
        <v>#NULL!</v>
      </c>
      <c r="DK78" s="29" t="e">
        <v>#NULL!</v>
      </c>
      <c r="DL78" s="29" t="e">
        <v>#NULL!</v>
      </c>
      <c r="DN78" s="28">
        <v>1</v>
      </c>
      <c r="DP78" s="29" t="e">
        <v>#NULL!</v>
      </c>
      <c r="DQ78" s="29" t="e">
        <v>#NULL!</v>
      </c>
      <c r="DR78" s="29" t="e">
        <v>#NULL!</v>
      </c>
      <c r="DT78" s="29" t="e">
        <v>#NULL!</v>
      </c>
      <c r="DU78" s="29" t="e">
        <v>#NULL!</v>
      </c>
      <c r="DV78" s="29" t="e">
        <v>#NULL!</v>
      </c>
      <c r="DW78" s="28">
        <v>5</v>
      </c>
      <c r="DX78" s="28">
        <v>2</v>
      </c>
      <c r="DZ78" s="29" t="e">
        <v>#NULL!</v>
      </c>
      <c r="EA78" s="29" t="e">
        <v>#NULL!</v>
      </c>
      <c r="EI78" s="29" t="e">
        <v>#NULL!</v>
      </c>
      <c r="EJ78" s="29" t="e">
        <v>#NULL!</v>
      </c>
      <c r="EK78" s="29" t="e">
        <v>#NULL!</v>
      </c>
      <c r="EL78" s="29" t="e">
        <v>#NULL!</v>
      </c>
      <c r="EM78" s="28">
        <v>11</v>
      </c>
      <c r="EN78" s="28">
        <v>7</v>
      </c>
      <c r="EP78" s="28">
        <v>7</v>
      </c>
      <c r="EQ78" s="28">
        <v>5</v>
      </c>
      <c r="ER78" s="28">
        <v>3</v>
      </c>
      <c r="ES78" s="28">
        <v>99999</v>
      </c>
      <c r="ET78" s="28">
        <v>7</v>
      </c>
      <c r="EU78" s="28">
        <v>6</v>
      </c>
      <c r="EV78" s="28">
        <v>8</v>
      </c>
      <c r="EW78" s="28">
        <v>6</v>
      </c>
      <c r="EX78" s="28">
        <v>4</v>
      </c>
      <c r="EY78" t="s">
        <v>1030</v>
      </c>
      <c r="EZ78" t="s">
        <v>1031</v>
      </c>
      <c r="FB78" t="s">
        <v>1032</v>
      </c>
      <c r="FC78" t="s">
        <v>1033</v>
      </c>
      <c r="FD78" s="29" t="e">
        <v>#NULL!</v>
      </c>
      <c r="FE78" s="29" t="e">
        <v>#NULL!</v>
      </c>
      <c r="FF78" s="28">
        <v>2</v>
      </c>
      <c r="FH78" t="s">
        <v>1034</v>
      </c>
      <c r="FI78" t="s">
        <v>1035</v>
      </c>
    </row>
    <row r="79" spans="1:165" x14ac:dyDescent="0.15">
      <c r="A79" s="28">
        <v>486</v>
      </c>
      <c r="B79" s="28">
        <v>1</v>
      </c>
      <c r="C79" s="28">
        <v>2</v>
      </c>
      <c r="D79" s="28">
        <v>1</v>
      </c>
      <c r="E79" s="29" t="e">
        <v>#NULL!</v>
      </c>
      <c r="F79" s="28">
        <v>2</v>
      </c>
      <c r="G79" s="28">
        <v>2</v>
      </c>
      <c r="H79" s="28">
        <v>2</v>
      </c>
      <c r="J79" s="28">
        <v>1</v>
      </c>
      <c r="K79" s="28">
        <v>4</v>
      </c>
      <c r="P79" s="29" t="e">
        <v>#NULL!</v>
      </c>
      <c r="Q79" s="29" t="e">
        <v>#NULL!</v>
      </c>
      <c r="R79" s="29" t="e">
        <v>#NULL!</v>
      </c>
      <c r="S79" s="29" t="e">
        <v>#NULL!</v>
      </c>
      <c r="T79" s="28">
        <v>10</v>
      </c>
      <c r="U79" s="28">
        <v>10</v>
      </c>
      <c r="V79" s="28">
        <v>10</v>
      </c>
      <c r="W79" s="28">
        <v>10</v>
      </c>
      <c r="Y79" s="29" t="e">
        <v>#NULL!</v>
      </c>
      <c r="Z79" s="29" t="e">
        <v>#NULL!</v>
      </c>
      <c r="AA79" s="29" t="e">
        <v>#NULL!</v>
      </c>
      <c r="AB79" s="29" t="e">
        <v>#NULL!</v>
      </c>
      <c r="AC79" t="s">
        <v>1036</v>
      </c>
      <c r="AD79" s="28">
        <v>22</v>
      </c>
      <c r="AE79" s="29" t="e">
        <v>#NULL!</v>
      </c>
      <c r="AF79" s="29" t="e">
        <v>#NULL!</v>
      </c>
      <c r="AG79" s="29" t="e">
        <v>#NULL!</v>
      </c>
      <c r="AI79" s="29" t="e">
        <v>#NULL!</v>
      </c>
      <c r="AJ79" s="29" t="e">
        <v>#NULL!</v>
      </c>
      <c r="AK79" s="29" t="e">
        <v>#NULL!</v>
      </c>
      <c r="AL79" s="29" t="e">
        <v>#NULL!</v>
      </c>
      <c r="AM79" t="s">
        <v>1037</v>
      </c>
      <c r="AN79" s="28">
        <v>23</v>
      </c>
      <c r="AO79" s="29" t="e">
        <v>#NULL!</v>
      </c>
      <c r="AP79" s="29" t="e">
        <v>#NULL!</v>
      </c>
      <c r="AQ79" s="29" t="e">
        <v>#NULL!</v>
      </c>
      <c r="AS79" s="29" t="e">
        <v>#NULL!</v>
      </c>
      <c r="AT79" s="29" t="e">
        <v>#NULL!</v>
      </c>
      <c r="AU79" s="29" t="e">
        <v>#NULL!</v>
      </c>
      <c r="AV79" s="29" t="e">
        <v>#NULL!</v>
      </c>
      <c r="AW79" t="s">
        <v>1038</v>
      </c>
      <c r="AX79" s="28">
        <v>25</v>
      </c>
      <c r="AY79" s="29" t="e">
        <v>#NULL!</v>
      </c>
      <c r="AZ79" s="29" t="e">
        <v>#NULL!</v>
      </c>
      <c r="BA79" s="29" t="e">
        <v>#NULL!</v>
      </c>
      <c r="BC79" s="29" t="e">
        <v>#NULL!</v>
      </c>
      <c r="BD79" s="29" t="e">
        <v>#NULL!</v>
      </c>
      <c r="BE79" s="29" t="e">
        <v>#NULL!</v>
      </c>
      <c r="BF79" s="29" t="e">
        <v>#NULL!</v>
      </c>
      <c r="BG79" t="s">
        <v>1039</v>
      </c>
      <c r="BH79" s="28">
        <v>21</v>
      </c>
      <c r="BI79" s="29" t="e">
        <v>#NULL!</v>
      </c>
      <c r="BJ79" s="29" t="e">
        <v>#NULL!</v>
      </c>
      <c r="BK79" s="29" t="e">
        <v>#NULL!</v>
      </c>
      <c r="BL79" s="28">
        <v>1</v>
      </c>
      <c r="BM79" s="29" t="e">
        <v>#NULL!</v>
      </c>
      <c r="BO79" s="29" t="e">
        <v>#NULL!</v>
      </c>
      <c r="BP79" s="29" t="e">
        <v>#NULL!</v>
      </c>
      <c r="BQ79" s="29" t="e">
        <v>#NULL!</v>
      </c>
      <c r="BR79" s="29" t="e">
        <v>#NULL!</v>
      </c>
      <c r="BS79" s="29" t="e">
        <v>#NULL!</v>
      </c>
      <c r="BU79" s="29" t="e">
        <v>#NULL!</v>
      </c>
      <c r="BV79" s="29" t="e">
        <v>#NULL!</v>
      </c>
      <c r="BW79" s="29" t="e">
        <v>#NULL!</v>
      </c>
      <c r="BX79" s="29" t="e">
        <v>#NULL!</v>
      </c>
      <c r="BZ79" s="29" t="e">
        <v>#NULL!</v>
      </c>
      <c r="CA79" s="29" t="e">
        <v>#NULL!</v>
      </c>
      <c r="CB79" s="29" t="e">
        <v>#NULL!</v>
      </c>
      <c r="CC79" s="28">
        <v>2</v>
      </c>
      <c r="CD79" s="29" t="e">
        <v>#NULL!</v>
      </c>
      <c r="CE79" s="28">
        <v>2</v>
      </c>
      <c r="CF79" s="29" t="e">
        <v>#NULL!</v>
      </c>
      <c r="CG79" s="29" t="e">
        <v>#NULL!</v>
      </c>
      <c r="CI79" s="29" t="e">
        <v>#NULL!</v>
      </c>
      <c r="CJ79" s="29" t="e">
        <v>#NULL!</v>
      </c>
      <c r="CK79" s="29" t="e">
        <v>#NULL!</v>
      </c>
      <c r="CL79" s="29" t="e">
        <v>#NULL!</v>
      </c>
      <c r="CN79" s="29" t="e">
        <v>#NULL!</v>
      </c>
      <c r="CO79" s="29" t="e">
        <v>#NULL!</v>
      </c>
      <c r="CP79" s="29" t="e">
        <v>#NULL!</v>
      </c>
      <c r="CQ79" s="28">
        <v>2</v>
      </c>
      <c r="CR79" s="29" t="e">
        <v>#NULL!</v>
      </c>
      <c r="CS79" s="28">
        <v>10</v>
      </c>
      <c r="CT79" s="28">
        <v>10</v>
      </c>
      <c r="CU79" s="28">
        <v>10</v>
      </c>
      <c r="CV79" s="28">
        <v>10</v>
      </c>
      <c r="CW79" s="28">
        <v>10</v>
      </c>
      <c r="CX79" s="28">
        <v>10</v>
      </c>
      <c r="CY79" s="28">
        <v>10</v>
      </c>
      <c r="DA79" s="29" t="e">
        <v>#NULL!</v>
      </c>
      <c r="DB79" s="29" t="e">
        <v>#NULL!</v>
      </c>
      <c r="DC79" s="28">
        <v>10</v>
      </c>
      <c r="DD79" s="29" t="e">
        <v>#NULL!</v>
      </c>
      <c r="DE79" s="29" t="e">
        <v>#NULL!</v>
      </c>
      <c r="DF79" s="29" t="e">
        <v>#NULL!</v>
      </c>
      <c r="DG79" s="29" t="e">
        <v>#NULL!</v>
      </c>
      <c r="DH79" s="29" t="e">
        <v>#NULL!</v>
      </c>
      <c r="DI79" s="29" t="e">
        <v>#NULL!</v>
      </c>
      <c r="DJ79" s="29" t="e">
        <v>#NULL!</v>
      </c>
      <c r="DK79" s="29" t="e">
        <v>#NULL!</v>
      </c>
      <c r="DL79" s="29" t="e">
        <v>#NULL!</v>
      </c>
      <c r="DN79" s="28">
        <v>1</v>
      </c>
      <c r="DP79" s="29" t="e">
        <v>#NULL!</v>
      </c>
      <c r="DQ79" s="29" t="e">
        <v>#NULL!</v>
      </c>
      <c r="DR79" s="29" t="e">
        <v>#NULL!</v>
      </c>
      <c r="DT79" s="29" t="e">
        <v>#NULL!</v>
      </c>
      <c r="DU79" s="29" t="e">
        <v>#NULL!</v>
      </c>
      <c r="DV79" s="29" t="e">
        <v>#NULL!</v>
      </c>
      <c r="DW79" s="28">
        <v>4</v>
      </c>
      <c r="DX79" s="28">
        <v>2</v>
      </c>
      <c r="DZ79" s="29" t="e">
        <v>#NULL!</v>
      </c>
      <c r="EA79" s="29" t="e">
        <v>#NULL!</v>
      </c>
      <c r="EI79" s="29" t="e">
        <v>#NULL!</v>
      </c>
      <c r="EJ79" s="29" t="e">
        <v>#NULL!</v>
      </c>
      <c r="EK79" s="29" t="e">
        <v>#NULL!</v>
      </c>
      <c r="EL79" s="29" t="e">
        <v>#NULL!</v>
      </c>
      <c r="EM79" s="28">
        <v>6</v>
      </c>
      <c r="EN79" s="28">
        <v>1</v>
      </c>
      <c r="EP79" s="28">
        <v>1</v>
      </c>
      <c r="EQ79" s="28">
        <v>1</v>
      </c>
      <c r="ER79" s="28">
        <v>2</v>
      </c>
      <c r="ES79" s="28">
        <v>78731</v>
      </c>
      <c r="ET79" s="28">
        <v>4</v>
      </c>
      <c r="EU79" s="28">
        <v>5</v>
      </c>
      <c r="EV79" s="28">
        <v>6</v>
      </c>
      <c r="EW79" s="28">
        <v>5</v>
      </c>
      <c r="EX79" s="28">
        <v>1</v>
      </c>
      <c r="EY79" t="s">
        <v>1040</v>
      </c>
      <c r="EZ79" t="s">
        <v>1041</v>
      </c>
      <c r="FB79" t="s">
        <v>1042</v>
      </c>
      <c r="FC79" t="s">
        <v>1043</v>
      </c>
      <c r="FD79" s="29" t="e">
        <v>#NULL!</v>
      </c>
      <c r="FE79" s="29" t="e">
        <v>#NULL!</v>
      </c>
      <c r="FF79" s="28">
        <v>2</v>
      </c>
      <c r="FH79" t="s">
        <v>1044</v>
      </c>
      <c r="FI79" t="s">
        <v>1045</v>
      </c>
    </row>
    <row r="80" spans="1:165" x14ac:dyDescent="0.15">
      <c r="A80" s="28">
        <v>491</v>
      </c>
      <c r="B80" s="28">
        <v>1</v>
      </c>
      <c r="C80" s="28">
        <v>2</v>
      </c>
      <c r="D80" s="28">
        <v>1</v>
      </c>
      <c r="E80" s="29" t="e">
        <v>#NULL!</v>
      </c>
      <c r="F80" s="28">
        <v>2</v>
      </c>
      <c r="G80" s="28">
        <v>2</v>
      </c>
      <c r="H80" s="28">
        <v>4</v>
      </c>
      <c r="I80" t="s">
        <v>1046</v>
      </c>
      <c r="J80" s="28">
        <v>1</v>
      </c>
      <c r="K80" s="28">
        <v>38</v>
      </c>
      <c r="N80" t="s">
        <v>1047</v>
      </c>
      <c r="P80" s="29" t="e">
        <v>#NULL!</v>
      </c>
      <c r="Q80" s="29" t="e">
        <v>#NULL!</v>
      </c>
      <c r="R80" s="29" t="e">
        <v>#NULL!</v>
      </c>
      <c r="S80" s="29" t="e">
        <v>#NULL!</v>
      </c>
      <c r="T80" s="28">
        <v>10</v>
      </c>
      <c r="U80" s="28">
        <v>2</v>
      </c>
      <c r="V80" s="28">
        <v>10</v>
      </c>
      <c r="W80" s="28">
        <v>10</v>
      </c>
      <c r="Y80" s="29" t="e">
        <v>#NULL!</v>
      </c>
      <c r="Z80" s="29" t="e">
        <v>#NULL!</v>
      </c>
      <c r="AA80" s="29" t="e">
        <v>#NULL!</v>
      </c>
      <c r="AB80" s="29" t="e">
        <v>#NULL!</v>
      </c>
      <c r="AC80" t="s">
        <v>1048</v>
      </c>
      <c r="AD80" s="28">
        <v>20</v>
      </c>
      <c r="AE80" s="29" t="e">
        <v>#NULL!</v>
      </c>
      <c r="AF80" s="29" t="e">
        <v>#NULL!</v>
      </c>
      <c r="AG80" s="29" t="e">
        <v>#NULL!</v>
      </c>
      <c r="AH80" t="s">
        <v>1049</v>
      </c>
      <c r="AI80" s="28">
        <v>7</v>
      </c>
      <c r="AJ80" s="29" t="e">
        <v>#NULL!</v>
      </c>
      <c r="AK80" s="29" t="e">
        <v>#NULL!</v>
      </c>
      <c r="AL80" s="29" t="e">
        <v>#NULL!</v>
      </c>
      <c r="AN80" s="29" t="e">
        <v>#NULL!</v>
      </c>
      <c r="AO80" s="29" t="e">
        <v>#NULL!</v>
      </c>
      <c r="AP80" s="29" t="e">
        <v>#NULL!</v>
      </c>
      <c r="AQ80" s="29" t="e">
        <v>#NULL!</v>
      </c>
      <c r="AS80" s="29" t="e">
        <v>#NULL!</v>
      </c>
      <c r="AT80" s="29" t="e">
        <v>#NULL!</v>
      </c>
      <c r="AU80" s="29" t="e">
        <v>#NULL!</v>
      </c>
      <c r="AV80" s="29" t="e">
        <v>#NULL!</v>
      </c>
      <c r="AW80" t="s">
        <v>1050</v>
      </c>
      <c r="AX80" s="28">
        <v>21</v>
      </c>
      <c r="AY80" s="28">
        <v>25</v>
      </c>
      <c r="AZ80" s="29" t="e">
        <v>#NULL!</v>
      </c>
      <c r="BA80" s="29" t="e">
        <v>#NULL!</v>
      </c>
      <c r="BC80" s="29" t="e">
        <v>#NULL!</v>
      </c>
      <c r="BD80" s="29" t="e">
        <v>#NULL!</v>
      </c>
      <c r="BE80" s="29" t="e">
        <v>#NULL!</v>
      </c>
      <c r="BF80" s="29" t="e">
        <v>#NULL!</v>
      </c>
      <c r="BG80" t="s">
        <v>1051</v>
      </c>
      <c r="BH80" s="28">
        <v>21</v>
      </c>
      <c r="BI80" s="29" t="e">
        <v>#NULL!</v>
      </c>
      <c r="BJ80" s="29" t="e">
        <v>#NULL!</v>
      </c>
      <c r="BK80" s="29" t="e">
        <v>#NULL!</v>
      </c>
      <c r="BL80" s="28">
        <v>1</v>
      </c>
      <c r="BM80" s="29" t="e">
        <v>#NULL!</v>
      </c>
      <c r="BO80" s="29" t="e">
        <v>#NULL!</v>
      </c>
      <c r="BP80" s="29" t="e">
        <v>#NULL!</v>
      </c>
      <c r="BQ80" s="29" t="e">
        <v>#NULL!</v>
      </c>
      <c r="BR80" s="29" t="e">
        <v>#NULL!</v>
      </c>
      <c r="BS80" s="29" t="e">
        <v>#NULL!</v>
      </c>
      <c r="BU80" s="29" t="e">
        <v>#NULL!</v>
      </c>
      <c r="BV80" s="29" t="e">
        <v>#NULL!</v>
      </c>
      <c r="BW80" s="29" t="e">
        <v>#NULL!</v>
      </c>
      <c r="BX80" s="29" t="e">
        <v>#NULL!</v>
      </c>
      <c r="BZ80" s="29" t="e">
        <v>#NULL!</v>
      </c>
      <c r="CA80" s="29" t="e">
        <v>#NULL!</v>
      </c>
      <c r="CB80" s="29" t="e">
        <v>#NULL!</v>
      </c>
      <c r="CC80" s="28">
        <v>1</v>
      </c>
      <c r="CD80" s="28">
        <v>8</v>
      </c>
      <c r="CE80" s="28">
        <v>3</v>
      </c>
      <c r="CF80" s="29" t="e">
        <v>#NULL!</v>
      </c>
      <c r="CG80" s="29" t="e">
        <v>#NULL!</v>
      </c>
      <c r="CI80" s="29" t="e">
        <v>#NULL!</v>
      </c>
      <c r="CJ80" s="29" t="e">
        <v>#NULL!</v>
      </c>
      <c r="CK80" s="29" t="e">
        <v>#NULL!</v>
      </c>
      <c r="CL80" s="29" t="e">
        <v>#NULL!</v>
      </c>
      <c r="CN80" s="29" t="e">
        <v>#NULL!</v>
      </c>
      <c r="CO80" s="29" t="e">
        <v>#NULL!</v>
      </c>
      <c r="CP80" s="29" t="e">
        <v>#NULL!</v>
      </c>
      <c r="CQ80" s="28">
        <v>2</v>
      </c>
      <c r="CR80" s="29" t="e">
        <v>#NULL!</v>
      </c>
      <c r="CS80" s="28">
        <v>9</v>
      </c>
      <c r="CT80" s="28">
        <v>9</v>
      </c>
      <c r="CU80" s="28">
        <v>10</v>
      </c>
      <c r="CV80" s="28">
        <v>6</v>
      </c>
      <c r="CW80" s="28">
        <v>6</v>
      </c>
      <c r="CX80" s="28">
        <v>10</v>
      </c>
      <c r="CY80" s="28">
        <v>10</v>
      </c>
      <c r="CZ80" t="s">
        <v>1052</v>
      </c>
      <c r="DA80" s="28">
        <v>4</v>
      </c>
      <c r="DB80" s="29" t="e">
        <v>#NULL!</v>
      </c>
      <c r="DC80" s="28">
        <v>6</v>
      </c>
      <c r="DD80" s="28">
        <v>0</v>
      </c>
      <c r="DE80" s="28">
        <v>1</v>
      </c>
      <c r="DF80" s="28">
        <v>0</v>
      </c>
      <c r="DG80" s="28">
        <v>0</v>
      </c>
      <c r="DH80" s="28">
        <v>0</v>
      </c>
      <c r="DI80" s="28">
        <v>1</v>
      </c>
      <c r="DJ80" s="28">
        <v>0</v>
      </c>
      <c r="DK80" s="28">
        <v>0</v>
      </c>
      <c r="DL80" s="28">
        <v>1</v>
      </c>
      <c r="DM80" t="s">
        <v>1053</v>
      </c>
      <c r="DN80" s="28">
        <v>2</v>
      </c>
      <c r="DO80" t="s">
        <v>1054</v>
      </c>
      <c r="DP80" s="28">
        <v>1</v>
      </c>
      <c r="DQ80" s="29" t="e">
        <v>#NULL!</v>
      </c>
      <c r="DR80" s="29" t="e">
        <v>#NULL!</v>
      </c>
      <c r="DT80" s="29" t="e">
        <v>#NULL!</v>
      </c>
      <c r="DU80" s="29" t="e">
        <v>#NULL!</v>
      </c>
      <c r="DV80" s="29" t="e">
        <v>#NULL!</v>
      </c>
      <c r="DW80" s="28">
        <v>3</v>
      </c>
      <c r="DX80" s="28">
        <v>2</v>
      </c>
      <c r="DZ80" s="29" t="e">
        <v>#NULL!</v>
      </c>
      <c r="EA80" s="29" t="e">
        <v>#NULL!</v>
      </c>
      <c r="EI80" s="29" t="e">
        <v>#NULL!</v>
      </c>
      <c r="EJ80" s="29" t="e">
        <v>#NULL!</v>
      </c>
      <c r="EK80" s="29" t="e">
        <v>#NULL!</v>
      </c>
      <c r="EL80" s="29" t="e">
        <v>#NULL!</v>
      </c>
      <c r="EM80" s="28">
        <v>10</v>
      </c>
      <c r="EN80" s="28">
        <v>1</v>
      </c>
      <c r="EP80" s="28">
        <v>5</v>
      </c>
      <c r="EQ80" s="28">
        <v>1</v>
      </c>
      <c r="ER80" s="28">
        <v>2</v>
      </c>
      <c r="ES80" s="28">
        <v>78733</v>
      </c>
      <c r="ET80" s="28">
        <v>2</v>
      </c>
      <c r="EU80" s="28">
        <v>4</v>
      </c>
      <c r="EV80" s="28">
        <v>3</v>
      </c>
      <c r="EW80" s="28">
        <v>5</v>
      </c>
      <c r="EX80" s="28">
        <v>2</v>
      </c>
      <c r="EY80" t="s">
        <v>1055</v>
      </c>
      <c r="EZ80" t="s">
        <v>1056</v>
      </c>
      <c r="FB80" t="s">
        <v>1057</v>
      </c>
      <c r="FC80" t="s">
        <v>1058</v>
      </c>
      <c r="FD80" s="29" t="e">
        <v>#NULL!</v>
      </c>
      <c r="FE80" s="29" t="e">
        <v>#NULL!</v>
      </c>
      <c r="FF80" s="28">
        <v>3</v>
      </c>
      <c r="FH80" t="s">
        <v>1059</v>
      </c>
      <c r="FI80" t="s">
        <v>1060</v>
      </c>
    </row>
    <row r="81" spans="1:165" x14ac:dyDescent="0.15">
      <c r="A81" s="28">
        <v>494</v>
      </c>
      <c r="B81" s="28">
        <v>1</v>
      </c>
      <c r="C81" s="28">
        <v>2</v>
      </c>
      <c r="D81" s="28">
        <v>1</v>
      </c>
      <c r="E81" s="29" t="e">
        <v>#NULL!</v>
      </c>
      <c r="F81" s="28">
        <v>2</v>
      </c>
      <c r="G81" s="28">
        <v>2</v>
      </c>
      <c r="H81" s="28">
        <v>2</v>
      </c>
      <c r="J81" s="28">
        <v>1</v>
      </c>
      <c r="K81" s="28">
        <v>11</v>
      </c>
      <c r="P81" s="29" t="e">
        <v>#NULL!</v>
      </c>
      <c r="Q81" s="29" t="e">
        <v>#NULL!</v>
      </c>
      <c r="R81" s="29" t="e">
        <v>#NULL!</v>
      </c>
      <c r="S81" s="29" t="e">
        <v>#NULL!</v>
      </c>
      <c r="T81" s="28">
        <v>9</v>
      </c>
      <c r="U81" s="28">
        <v>9</v>
      </c>
      <c r="V81" s="28">
        <v>9</v>
      </c>
      <c r="W81" s="28">
        <v>9</v>
      </c>
      <c r="Y81" s="29" t="e">
        <v>#NULL!</v>
      </c>
      <c r="Z81" s="29" t="e">
        <v>#NULL!</v>
      </c>
      <c r="AA81" s="29" t="e">
        <v>#NULL!</v>
      </c>
      <c r="AB81" s="29" t="e">
        <v>#NULL!</v>
      </c>
      <c r="AC81" t="s">
        <v>1061</v>
      </c>
      <c r="AD81" s="28">
        <v>20</v>
      </c>
      <c r="AE81" s="29" t="e">
        <v>#NULL!</v>
      </c>
      <c r="AF81" s="29" t="e">
        <v>#NULL!</v>
      </c>
      <c r="AG81" s="29" t="e">
        <v>#NULL!</v>
      </c>
      <c r="AI81" s="29" t="e">
        <v>#NULL!</v>
      </c>
      <c r="AJ81" s="29" t="e">
        <v>#NULL!</v>
      </c>
      <c r="AK81" s="29" t="e">
        <v>#NULL!</v>
      </c>
      <c r="AL81" s="29" t="e">
        <v>#NULL!</v>
      </c>
      <c r="AM81" t="s">
        <v>1062</v>
      </c>
      <c r="AN81" s="28">
        <v>20</v>
      </c>
      <c r="AO81" s="29" t="e">
        <v>#NULL!</v>
      </c>
      <c r="AP81" s="29" t="e">
        <v>#NULL!</v>
      </c>
      <c r="AQ81" s="29" t="e">
        <v>#NULL!</v>
      </c>
      <c r="AS81" s="29" t="e">
        <v>#NULL!</v>
      </c>
      <c r="AT81" s="29" t="e">
        <v>#NULL!</v>
      </c>
      <c r="AU81" s="29" t="e">
        <v>#NULL!</v>
      </c>
      <c r="AV81" s="29" t="e">
        <v>#NULL!</v>
      </c>
      <c r="AW81" t="s">
        <v>1063</v>
      </c>
      <c r="AX81" s="28">
        <v>99</v>
      </c>
      <c r="AY81" s="29" t="e">
        <v>#NULL!</v>
      </c>
      <c r="AZ81" s="29" t="e">
        <v>#NULL!</v>
      </c>
      <c r="BA81" s="29" t="e">
        <v>#NULL!</v>
      </c>
      <c r="BC81" s="29" t="e">
        <v>#NULL!</v>
      </c>
      <c r="BD81" s="29" t="e">
        <v>#NULL!</v>
      </c>
      <c r="BE81" s="29" t="e">
        <v>#NULL!</v>
      </c>
      <c r="BF81" s="29" t="e">
        <v>#NULL!</v>
      </c>
      <c r="BG81" t="s">
        <v>1064</v>
      </c>
      <c r="BH81" s="28">
        <v>21</v>
      </c>
      <c r="BI81" s="29" t="e">
        <v>#NULL!</v>
      </c>
      <c r="BJ81" s="29" t="e">
        <v>#NULL!</v>
      </c>
      <c r="BK81" s="29" t="e">
        <v>#NULL!</v>
      </c>
      <c r="BL81" s="28">
        <v>2</v>
      </c>
      <c r="BM81" s="28">
        <v>5</v>
      </c>
      <c r="BN81" t="s">
        <v>1065</v>
      </c>
      <c r="BO81" s="28">
        <v>98</v>
      </c>
      <c r="BP81" s="29" t="e">
        <v>#NULL!</v>
      </c>
      <c r="BQ81" s="29" t="e">
        <v>#NULL!</v>
      </c>
      <c r="BR81" s="29" t="e">
        <v>#NULL!</v>
      </c>
      <c r="BS81" s="28">
        <v>10</v>
      </c>
      <c r="BT81" t="s">
        <v>1066</v>
      </c>
      <c r="BU81" s="28">
        <v>13</v>
      </c>
      <c r="BV81" s="29" t="e">
        <v>#NULL!</v>
      </c>
      <c r="BW81" s="29" t="e">
        <v>#NULL!</v>
      </c>
      <c r="BX81" s="29" t="e">
        <v>#NULL!</v>
      </c>
      <c r="BZ81" s="29" t="e">
        <v>#NULL!</v>
      </c>
      <c r="CA81" s="29" t="e">
        <v>#NULL!</v>
      </c>
      <c r="CB81" s="29" t="e">
        <v>#NULL!</v>
      </c>
      <c r="CC81" s="28">
        <v>2</v>
      </c>
      <c r="CD81" s="29" t="e">
        <v>#NULL!</v>
      </c>
      <c r="CE81" s="28">
        <v>2</v>
      </c>
      <c r="CF81" s="29" t="e">
        <v>#NULL!</v>
      </c>
      <c r="CG81" s="29" t="e">
        <v>#NULL!</v>
      </c>
      <c r="CI81" s="29" t="e">
        <v>#NULL!</v>
      </c>
      <c r="CJ81" s="29" t="e">
        <v>#NULL!</v>
      </c>
      <c r="CK81" s="29" t="e">
        <v>#NULL!</v>
      </c>
      <c r="CL81" s="29" t="e">
        <v>#NULL!</v>
      </c>
      <c r="CN81" s="29" t="e">
        <v>#NULL!</v>
      </c>
      <c r="CO81" s="29" t="e">
        <v>#NULL!</v>
      </c>
      <c r="CP81" s="29" t="e">
        <v>#NULL!</v>
      </c>
      <c r="CQ81" s="28">
        <v>2</v>
      </c>
      <c r="CR81" s="29" t="e">
        <v>#NULL!</v>
      </c>
      <c r="CS81" s="28">
        <v>10</v>
      </c>
      <c r="CT81" s="28">
        <v>10</v>
      </c>
      <c r="CU81" s="28">
        <v>10</v>
      </c>
      <c r="CV81" s="28">
        <v>10</v>
      </c>
      <c r="CW81" s="28">
        <v>10</v>
      </c>
      <c r="CX81" s="28">
        <v>10</v>
      </c>
      <c r="CY81" s="28">
        <v>10</v>
      </c>
      <c r="DA81" s="29" t="e">
        <v>#NULL!</v>
      </c>
      <c r="DB81" s="29" t="e">
        <v>#NULL!</v>
      </c>
      <c r="DC81" s="28">
        <v>10</v>
      </c>
      <c r="DD81" s="29" t="e">
        <v>#NULL!</v>
      </c>
      <c r="DE81" s="29" t="e">
        <v>#NULL!</v>
      </c>
      <c r="DF81" s="29" t="e">
        <v>#NULL!</v>
      </c>
      <c r="DG81" s="29" t="e">
        <v>#NULL!</v>
      </c>
      <c r="DH81" s="29" t="e">
        <v>#NULL!</v>
      </c>
      <c r="DI81" s="29" t="e">
        <v>#NULL!</v>
      </c>
      <c r="DJ81" s="29" t="e">
        <v>#NULL!</v>
      </c>
      <c r="DK81" s="29" t="e">
        <v>#NULL!</v>
      </c>
      <c r="DL81" s="29" t="e">
        <v>#NULL!</v>
      </c>
      <c r="DN81" s="28">
        <v>1</v>
      </c>
      <c r="DP81" s="29" t="e">
        <v>#NULL!</v>
      </c>
      <c r="DQ81" s="29" t="e">
        <v>#NULL!</v>
      </c>
      <c r="DR81" s="29" t="e">
        <v>#NULL!</v>
      </c>
      <c r="DT81" s="29" t="e">
        <v>#NULL!</v>
      </c>
      <c r="DU81" s="29" t="e">
        <v>#NULL!</v>
      </c>
      <c r="DV81" s="29" t="e">
        <v>#NULL!</v>
      </c>
      <c r="DW81" s="28">
        <v>2</v>
      </c>
      <c r="DX81" s="28">
        <v>2</v>
      </c>
      <c r="DZ81" s="29" t="e">
        <v>#NULL!</v>
      </c>
      <c r="EA81" s="29" t="e">
        <v>#NULL!</v>
      </c>
      <c r="EI81" s="29" t="e">
        <v>#NULL!</v>
      </c>
      <c r="EJ81" s="29" t="e">
        <v>#NULL!</v>
      </c>
      <c r="EK81" s="29" t="e">
        <v>#NULL!</v>
      </c>
      <c r="EL81" s="29" t="e">
        <v>#NULL!</v>
      </c>
      <c r="EM81" s="28">
        <v>10</v>
      </c>
      <c r="EN81" s="28">
        <v>6</v>
      </c>
      <c r="EO81" t="s">
        <v>1067</v>
      </c>
      <c r="EP81" s="28">
        <v>5</v>
      </c>
      <c r="EQ81" s="28">
        <v>2</v>
      </c>
      <c r="ER81" s="28">
        <v>2</v>
      </c>
      <c r="ES81" s="28">
        <v>78741</v>
      </c>
      <c r="ET81" s="28">
        <v>2</v>
      </c>
      <c r="EU81" s="28">
        <v>4</v>
      </c>
      <c r="EV81" s="28">
        <v>3</v>
      </c>
      <c r="EW81" s="28">
        <v>5</v>
      </c>
      <c r="EX81" s="28">
        <v>1</v>
      </c>
      <c r="EY81" t="s">
        <v>1068</v>
      </c>
      <c r="EZ81" t="s">
        <v>1069</v>
      </c>
      <c r="FB81" t="s">
        <v>1070</v>
      </c>
      <c r="FC81" t="s">
        <v>1071</v>
      </c>
      <c r="FD81" s="29" t="e">
        <v>#NULL!</v>
      </c>
      <c r="FE81" s="29" t="e">
        <v>#NULL!</v>
      </c>
      <c r="FF81" s="28">
        <v>3</v>
      </c>
      <c r="FH81" t="s">
        <v>1072</v>
      </c>
      <c r="FI81" t="s">
        <v>1073</v>
      </c>
    </row>
    <row r="82" spans="1:165" x14ac:dyDescent="0.15">
      <c r="A82" s="28">
        <v>495</v>
      </c>
      <c r="B82" s="28">
        <v>1</v>
      </c>
      <c r="C82" s="28">
        <v>2</v>
      </c>
      <c r="D82" s="28">
        <v>1</v>
      </c>
      <c r="E82" s="29" t="e">
        <v>#NULL!</v>
      </c>
      <c r="F82" s="28">
        <v>2</v>
      </c>
      <c r="G82" s="28">
        <v>2</v>
      </c>
      <c r="H82" s="28">
        <v>1</v>
      </c>
      <c r="J82" s="28">
        <v>2</v>
      </c>
      <c r="K82" s="28">
        <v>20</v>
      </c>
      <c r="O82" t="s">
        <v>1074</v>
      </c>
      <c r="P82" s="28">
        <v>12</v>
      </c>
      <c r="Q82" s="29" t="e">
        <v>#NULL!</v>
      </c>
      <c r="R82" s="29" t="e">
        <v>#NULL!</v>
      </c>
      <c r="S82" s="29" t="e">
        <v>#NULL!</v>
      </c>
      <c r="T82" s="28">
        <v>10</v>
      </c>
      <c r="U82" s="28">
        <v>10</v>
      </c>
      <c r="V82" s="28">
        <v>10</v>
      </c>
      <c r="W82" s="28">
        <v>10</v>
      </c>
      <c r="Y82" s="29" t="e">
        <v>#NULL!</v>
      </c>
      <c r="Z82" s="29" t="e">
        <v>#NULL!</v>
      </c>
      <c r="AA82" s="29" t="e">
        <v>#NULL!</v>
      </c>
      <c r="AB82" s="29" t="e">
        <v>#NULL!</v>
      </c>
      <c r="AC82" t="s">
        <v>1075</v>
      </c>
      <c r="AD82" s="28">
        <v>27</v>
      </c>
      <c r="AE82" s="29" t="e">
        <v>#NULL!</v>
      </c>
      <c r="AF82" s="29" t="e">
        <v>#NULL!</v>
      </c>
      <c r="AG82" s="29" t="e">
        <v>#NULL!</v>
      </c>
      <c r="AI82" s="29" t="e">
        <v>#NULL!</v>
      </c>
      <c r="AJ82" s="29" t="e">
        <v>#NULL!</v>
      </c>
      <c r="AK82" s="29" t="e">
        <v>#NULL!</v>
      </c>
      <c r="AL82" s="29" t="e">
        <v>#NULL!</v>
      </c>
      <c r="AM82" t="s">
        <v>1076</v>
      </c>
      <c r="AN82" s="28">
        <v>21</v>
      </c>
      <c r="AO82" s="29" t="e">
        <v>#NULL!</v>
      </c>
      <c r="AP82" s="29" t="e">
        <v>#NULL!</v>
      </c>
      <c r="AQ82" s="29" t="e">
        <v>#NULL!</v>
      </c>
      <c r="AS82" s="29" t="e">
        <v>#NULL!</v>
      </c>
      <c r="AT82" s="29" t="e">
        <v>#NULL!</v>
      </c>
      <c r="AU82" s="29" t="e">
        <v>#NULL!</v>
      </c>
      <c r="AV82" s="29" t="e">
        <v>#NULL!</v>
      </c>
      <c r="AW82" t="s">
        <v>1076</v>
      </c>
      <c r="AX82" s="28">
        <v>21</v>
      </c>
      <c r="AY82" s="29" t="e">
        <v>#NULL!</v>
      </c>
      <c r="AZ82" s="29" t="e">
        <v>#NULL!</v>
      </c>
      <c r="BA82" s="29" t="e">
        <v>#NULL!</v>
      </c>
      <c r="BC82" s="29" t="e">
        <v>#NULL!</v>
      </c>
      <c r="BD82" s="29" t="e">
        <v>#NULL!</v>
      </c>
      <c r="BE82" s="29" t="e">
        <v>#NULL!</v>
      </c>
      <c r="BF82" s="29" t="e">
        <v>#NULL!</v>
      </c>
      <c r="BG82" t="s">
        <v>1077</v>
      </c>
      <c r="BH82" s="28">
        <v>21</v>
      </c>
      <c r="BI82" s="29" t="e">
        <v>#NULL!</v>
      </c>
      <c r="BJ82" s="29" t="e">
        <v>#NULL!</v>
      </c>
      <c r="BK82" s="29" t="e">
        <v>#NULL!</v>
      </c>
      <c r="BL82" s="28">
        <v>1</v>
      </c>
      <c r="BM82" s="29" t="e">
        <v>#NULL!</v>
      </c>
      <c r="BO82" s="29" t="e">
        <v>#NULL!</v>
      </c>
      <c r="BP82" s="29" t="e">
        <v>#NULL!</v>
      </c>
      <c r="BQ82" s="29" t="e">
        <v>#NULL!</v>
      </c>
      <c r="BR82" s="29" t="e">
        <v>#NULL!</v>
      </c>
      <c r="BS82" s="29" t="e">
        <v>#NULL!</v>
      </c>
      <c r="BU82" s="29" t="e">
        <v>#NULL!</v>
      </c>
      <c r="BV82" s="29" t="e">
        <v>#NULL!</v>
      </c>
      <c r="BW82" s="29" t="e">
        <v>#NULL!</v>
      </c>
      <c r="BX82" s="29" t="e">
        <v>#NULL!</v>
      </c>
      <c r="BZ82" s="29" t="e">
        <v>#NULL!</v>
      </c>
      <c r="CA82" s="29" t="e">
        <v>#NULL!</v>
      </c>
      <c r="CB82" s="29" t="e">
        <v>#NULL!</v>
      </c>
      <c r="CC82" s="28">
        <v>2</v>
      </c>
      <c r="CD82" s="29" t="e">
        <v>#NULL!</v>
      </c>
      <c r="CE82" s="28">
        <v>2</v>
      </c>
      <c r="CF82" s="29" t="e">
        <v>#NULL!</v>
      </c>
      <c r="CG82" s="29" t="e">
        <v>#NULL!</v>
      </c>
      <c r="CI82" s="29" t="e">
        <v>#NULL!</v>
      </c>
      <c r="CJ82" s="29" t="e">
        <v>#NULL!</v>
      </c>
      <c r="CK82" s="29" t="e">
        <v>#NULL!</v>
      </c>
      <c r="CL82" s="29" t="e">
        <v>#NULL!</v>
      </c>
      <c r="CN82" s="29" t="e">
        <v>#NULL!</v>
      </c>
      <c r="CO82" s="29" t="e">
        <v>#NULL!</v>
      </c>
      <c r="CP82" s="29" t="e">
        <v>#NULL!</v>
      </c>
      <c r="CQ82" s="28">
        <v>2</v>
      </c>
      <c r="CR82" s="29" t="e">
        <v>#NULL!</v>
      </c>
      <c r="CS82" s="28">
        <v>10</v>
      </c>
      <c r="CT82" s="28">
        <v>10</v>
      </c>
      <c r="CU82" s="28">
        <v>10</v>
      </c>
      <c r="CV82" s="28">
        <v>10</v>
      </c>
      <c r="CW82" s="28">
        <v>10</v>
      </c>
      <c r="CX82" s="28">
        <v>10</v>
      </c>
      <c r="CY82" s="28">
        <v>10</v>
      </c>
      <c r="DA82" s="29" t="e">
        <v>#NULL!</v>
      </c>
      <c r="DB82" s="29" t="e">
        <v>#NULL!</v>
      </c>
      <c r="DC82" s="28">
        <v>10</v>
      </c>
      <c r="DD82" s="29" t="e">
        <v>#NULL!</v>
      </c>
      <c r="DE82" s="29" t="e">
        <v>#NULL!</v>
      </c>
      <c r="DF82" s="29" t="e">
        <v>#NULL!</v>
      </c>
      <c r="DG82" s="29" t="e">
        <v>#NULL!</v>
      </c>
      <c r="DH82" s="29" t="e">
        <v>#NULL!</v>
      </c>
      <c r="DI82" s="29" t="e">
        <v>#NULL!</v>
      </c>
      <c r="DJ82" s="29" t="e">
        <v>#NULL!</v>
      </c>
      <c r="DK82" s="29" t="e">
        <v>#NULL!</v>
      </c>
      <c r="DL82" s="29" t="e">
        <v>#NULL!</v>
      </c>
      <c r="DN82" s="28">
        <v>1</v>
      </c>
      <c r="DP82" s="29" t="e">
        <v>#NULL!</v>
      </c>
      <c r="DQ82" s="29" t="e">
        <v>#NULL!</v>
      </c>
      <c r="DR82" s="29" t="e">
        <v>#NULL!</v>
      </c>
      <c r="DT82" s="29" t="e">
        <v>#NULL!</v>
      </c>
      <c r="DU82" s="29" t="e">
        <v>#NULL!</v>
      </c>
      <c r="DV82" s="29" t="e">
        <v>#NULL!</v>
      </c>
      <c r="DW82" s="28">
        <v>2</v>
      </c>
      <c r="DX82" s="28">
        <v>2</v>
      </c>
      <c r="DZ82" s="29" t="e">
        <v>#NULL!</v>
      </c>
      <c r="EA82" s="29" t="e">
        <v>#NULL!</v>
      </c>
      <c r="EI82" s="29" t="e">
        <v>#NULL!</v>
      </c>
      <c r="EJ82" s="29" t="e">
        <v>#NULL!</v>
      </c>
      <c r="EK82" s="29" t="e">
        <v>#NULL!</v>
      </c>
      <c r="EL82" s="29" t="e">
        <v>#NULL!</v>
      </c>
      <c r="EM82" s="28">
        <v>6</v>
      </c>
      <c r="EN82" s="28">
        <v>3</v>
      </c>
      <c r="EP82" s="28">
        <v>5</v>
      </c>
      <c r="EQ82" s="28">
        <v>1</v>
      </c>
      <c r="ER82" s="28">
        <v>2</v>
      </c>
      <c r="ES82" s="28">
        <v>78746</v>
      </c>
      <c r="ET82" s="28">
        <v>7</v>
      </c>
      <c r="EU82" s="28">
        <v>4</v>
      </c>
      <c r="EV82" s="28">
        <v>8</v>
      </c>
      <c r="EW82" s="28">
        <v>5</v>
      </c>
      <c r="EX82" s="28">
        <v>1</v>
      </c>
      <c r="EY82" t="s">
        <v>1078</v>
      </c>
      <c r="EZ82" t="s">
        <v>1079</v>
      </c>
      <c r="FB82" t="s">
        <v>1080</v>
      </c>
      <c r="FC82" t="s">
        <v>1081</v>
      </c>
      <c r="FD82" s="29" t="e">
        <v>#NULL!</v>
      </c>
      <c r="FE82" s="29" t="e">
        <v>#NULL!</v>
      </c>
      <c r="FF82" s="28">
        <v>1</v>
      </c>
      <c r="FH82" t="s">
        <v>1082</v>
      </c>
      <c r="FI82" t="s">
        <v>1083</v>
      </c>
    </row>
    <row r="83" spans="1:165" x14ac:dyDescent="0.15">
      <c r="A83" s="28">
        <v>500</v>
      </c>
      <c r="B83" s="28">
        <v>1</v>
      </c>
      <c r="C83" s="28">
        <v>2</v>
      </c>
      <c r="D83" s="28">
        <v>1</v>
      </c>
      <c r="E83" s="29" t="e">
        <v>#NULL!</v>
      </c>
      <c r="F83" s="28">
        <v>2</v>
      </c>
      <c r="G83" s="28">
        <v>2</v>
      </c>
      <c r="H83" s="28">
        <v>4</v>
      </c>
      <c r="I83" t="s">
        <v>1084</v>
      </c>
      <c r="J83" s="28">
        <v>2</v>
      </c>
      <c r="K83" s="28">
        <v>15</v>
      </c>
      <c r="M83" t="s">
        <v>1084</v>
      </c>
      <c r="O83" t="s">
        <v>1085</v>
      </c>
      <c r="P83" s="28">
        <v>12</v>
      </c>
      <c r="Q83" s="29" t="e">
        <v>#NULL!</v>
      </c>
      <c r="R83" s="29" t="e">
        <v>#NULL!</v>
      </c>
      <c r="S83" s="29" t="e">
        <v>#NULL!</v>
      </c>
      <c r="T83" s="28">
        <v>7</v>
      </c>
      <c r="U83" s="28">
        <v>7</v>
      </c>
      <c r="V83" s="28">
        <v>7</v>
      </c>
      <c r="W83" s="28">
        <v>7</v>
      </c>
      <c r="Y83" s="29" t="e">
        <v>#NULL!</v>
      </c>
      <c r="Z83" s="29" t="e">
        <v>#NULL!</v>
      </c>
      <c r="AA83" s="29" t="e">
        <v>#NULL!</v>
      </c>
      <c r="AB83" s="29" t="e">
        <v>#NULL!</v>
      </c>
      <c r="AD83" s="29" t="e">
        <v>#NULL!</v>
      </c>
      <c r="AE83" s="29" t="e">
        <v>#NULL!</v>
      </c>
      <c r="AF83" s="29" t="e">
        <v>#NULL!</v>
      </c>
      <c r="AG83" s="29" t="e">
        <v>#NULL!</v>
      </c>
      <c r="AI83" s="29" t="e">
        <v>#NULL!</v>
      </c>
      <c r="AJ83" s="29" t="e">
        <v>#NULL!</v>
      </c>
      <c r="AK83" s="29" t="e">
        <v>#NULL!</v>
      </c>
      <c r="AL83" s="29" t="e">
        <v>#NULL!</v>
      </c>
      <c r="AN83" s="29" t="e">
        <v>#NULL!</v>
      </c>
      <c r="AO83" s="29" t="e">
        <v>#NULL!</v>
      </c>
      <c r="AP83" s="29" t="e">
        <v>#NULL!</v>
      </c>
      <c r="AQ83" s="29" t="e">
        <v>#NULL!</v>
      </c>
      <c r="AS83" s="29" t="e">
        <v>#NULL!</v>
      </c>
      <c r="AT83" s="29" t="e">
        <v>#NULL!</v>
      </c>
      <c r="AU83" s="29" t="e">
        <v>#NULL!</v>
      </c>
      <c r="AV83" s="29" t="e">
        <v>#NULL!</v>
      </c>
      <c r="AX83" s="29" t="e">
        <v>#NULL!</v>
      </c>
      <c r="AY83" s="29" t="e">
        <v>#NULL!</v>
      </c>
      <c r="AZ83" s="29" t="e">
        <v>#NULL!</v>
      </c>
      <c r="BA83" s="29" t="e">
        <v>#NULL!</v>
      </c>
      <c r="BC83" s="29" t="e">
        <v>#NULL!</v>
      </c>
      <c r="BD83" s="29" t="e">
        <v>#NULL!</v>
      </c>
      <c r="BE83" s="29" t="e">
        <v>#NULL!</v>
      </c>
      <c r="BF83" s="29" t="e">
        <v>#NULL!</v>
      </c>
      <c r="BH83" s="29" t="e">
        <v>#NULL!</v>
      </c>
      <c r="BI83" s="29" t="e">
        <v>#NULL!</v>
      </c>
      <c r="BJ83" s="29" t="e">
        <v>#NULL!</v>
      </c>
      <c r="BK83" s="29" t="e">
        <v>#NULL!</v>
      </c>
      <c r="BL83" s="28">
        <v>2</v>
      </c>
      <c r="BM83" s="28">
        <v>10</v>
      </c>
      <c r="BN83" t="s">
        <v>741</v>
      </c>
      <c r="BO83" s="28">
        <v>98</v>
      </c>
      <c r="BP83" s="29" t="e">
        <v>#NULL!</v>
      </c>
      <c r="BQ83" s="29" t="e">
        <v>#NULL!</v>
      </c>
      <c r="BR83" s="29" t="e">
        <v>#NULL!</v>
      </c>
      <c r="BS83" s="28">
        <v>7</v>
      </c>
      <c r="BT83" t="s">
        <v>1086</v>
      </c>
      <c r="BU83" s="28">
        <v>13</v>
      </c>
      <c r="BV83" s="29" t="e">
        <v>#NULL!</v>
      </c>
      <c r="BW83" s="29" t="e">
        <v>#NULL!</v>
      </c>
      <c r="BX83" s="29" t="e">
        <v>#NULL!</v>
      </c>
      <c r="BZ83" s="29" t="e">
        <v>#NULL!</v>
      </c>
      <c r="CA83" s="29" t="e">
        <v>#NULL!</v>
      </c>
      <c r="CB83" s="29" t="e">
        <v>#NULL!</v>
      </c>
      <c r="CC83" s="28">
        <v>1</v>
      </c>
      <c r="CD83" s="28">
        <v>3</v>
      </c>
      <c r="CE83" s="28">
        <v>1</v>
      </c>
      <c r="CF83" s="28">
        <v>1</v>
      </c>
      <c r="CG83" s="28">
        <v>1</v>
      </c>
      <c r="CH83" t="s">
        <v>1087</v>
      </c>
      <c r="CI83" s="28">
        <v>1</v>
      </c>
      <c r="CJ83" s="29" t="e">
        <v>#NULL!</v>
      </c>
      <c r="CK83" s="29" t="e">
        <v>#NULL!</v>
      </c>
      <c r="CL83" s="28">
        <v>7</v>
      </c>
      <c r="CM83" t="s">
        <v>1088</v>
      </c>
      <c r="CN83" s="28">
        <v>5</v>
      </c>
      <c r="CO83" s="29" t="e">
        <v>#NULL!</v>
      </c>
      <c r="CP83" s="29" t="e">
        <v>#NULL!</v>
      </c>
      <c r="CQ83" s="28">
        <v>2</v>
      </c>
      <c r="CR83" s="29" t="e">
        <v>#NULL!</v>
      </c>
      <c r="CS83" s="28">
        <v>9</v>
      </c>
      <c r="CT83" s="28">
        <v>10</v>
      </c>
      <c r="CU83" s="28">
        <v>7</v>
      </c>
      <c r="CV83" s="28">
        <v>5</v>
      </c>
      <c r="CW83" s="28">
        <v>7</v>
      </c>
      <c r="CX83" s="28">
        <v>9</v>
      </c>
      <c r="CY83" s="28">
        <v>10</v>
      </c>
      <c r="CZ83" t="s">
        <v>1089</v>
      </c>
      <c r="DA83" s="28">
        <v>4</v>
      </c>
      <c r="DB83" s="29" t="e">
        <v>#NULL!</v>
      </c>
      <c r="DC83" s="28">
        <v>7</v>
      </c>
      <c r="DD83" s="28">
        <v>0</v>
      </c>
      <c r="DE83" s="28">
        <v>1</v>
      </c>
      <c r="DF83" s="28">
        <v>1</v>
      </c>
      <c r="DG83" s="28">
        <v>0</v>
      </c>
      <c r="DH83" s="28">
        <v>0</v>
      </c>
      <c r="DI83" s="28">
        <v>0</v>
      </c>
      <c r="DJ83" s="28">
        <v>0</v>
      </c>
      <c r="DK83" s="28">
        <v>0</v>
      </c>
      <c r="DL83" s="28">
        <v>1</v>
      </c>
      <c r="DM83" t="s">
        <v>1090</v>
      </c>
      <c r="DN83" s="28">
        <v>3</v>
      </c>
      <c r="DO83" t="s">
        <v>1091</v>
      </c>
      <c r="DP83" s="28">
        <v>97</v>
      </c>
      <c r="DQ83" s="29" t="e">
        <v>#NULL!</v>
      </c>
      <c r="DR83" s="29" t="e">
        <v>#NULL!</v>
      </c>
      <c r="DT83" s="29" t="e">
        <v>#NULL!</v>
      </c>
      <c r="DU83" s="29" t="e">
        <v>#NULL!</v>
      </c>
      <c r="DV83" s="29" t="e">
        <v>#NULL!</v>
      </c>
      <c r="DW83" s="28">
        <v>3</v>
      </c>
      <c r="DX83" s="28">
        <v>2</v>
      </c>
      <c r="DZ83" s="29" t="e">
        <v>#NULL!</v>
      </c>
      <c r="EA83" s="29" t="e">
        <v>#NULL!</v>
      </c>
      <c r="EI83" s="29" t="e">
        <v>#NULL!</v>
      </c>
      <c r="EJ83" s="29" t="e">
        <v>#NULL!</v>
      </c>
      <c r="EK83" s="29" t="e">
        <v>#NULL!</v>
      </c>
      <c r="EL83" s="29" t="e">
        <v>#NULL!</v>
      </c>
      <c r="EM83" s="28">
        <v>11</v>
      </c>
      <c r="EN83" s="28">
        <v>7</v>
      </c>
      <c r="EP83" s="28">
        <v>7</v>
      </c>
      <c r="EQ83" s="28">
        <v>5</v>
      </c>
      <c r="ER83" s="28">
        <v>3</v>
      </c>
      <c r="ES83" s="28">
        <v>99999</v>
      </c>
      <c r="ET83" s="28">
        <v>7</v>
      </c>
      <c r="EU83" s="28">
        <v>6</v>
      </c>
      <c r="EV83" s="28">
        <v>8</v>
      </c>
      <c r="EW83" s="28">
        <v>6</v>
      </c>
      <c r="EX83" s="28">
        <v>4</v>
      </c>
      <c r="EY83" t="s">
        <v>900</v>
      </c>
      <c r="EZ83" t="s">
        <v>1092</v>
      </c>
      <c r="FB83" t="s">
        <v>1093</v>
      </c>
      <c r="FC83" t="s">
        <v>1094</v>
      </c>
      <c r="FD83" s="29" t="e">
        <v>#NULL!</v>
      </c>
      <c r="FE83" s="29" t="e">
        <v>#NULL!</v>
      </c>
      <c r="FF83" s="28">
        <v>2</v>
      </c>
      <c r="FH83" t="s">
        <v>1095</v>
      </c>
      <c r="FI83" t="s">
        <v>1096</v>
      </c>
    </row>
    <row r="84" spans="1:165" x14ac:dyDescent="0.15">
      <c r="A84" s="28">
        <v>502</v>
      </c>
      <c r="B84" s="28">
        <v>1</v>
      </c>
      <c r="C84" s="28">
        <v>2</v>
      </c>
      <c r="D84" s="28">
        <v>1</v>
      </c>
      <c r="E84" s="29" t="e">
        <v>#NULL!</v>
      </c>
      <c r="F84" s="28">
        <v>2</v>
      </c>
      <c r="G84" s="28">
        <v>2</v>
      </c>
      <c r="H84" s="28">
        <v>1</v>
      </c>
      <c r="J84" s="28">
        <v>2</v>
      </c>
      <c r="K84" s="28">
        <v>20</v>
      </c>
      <c r="O84" t="s">
        <v>1097</v>
      </c>
      <c r="P84" s="28">
        <v>12</v>
      </c>
      <c r="Q84" s="29" t="e">
        <v>#NULL!</v>
      </c>
      <c r="R84" s="29" t="e">
        <v>#NULL!</v>
      </c>
      <c r="S84" s="29" t="e">
        <v>#NULL!</v>
      </c>
      <c r="T84" s="28">
        <v>9</v>
      </c>
      <c r="U84" s="28">
        <v>9</v>
      </c>
      <c r="V84" s="28">
        <v>9</v>
      </c>
      <c r="W84" s="28">
        <v>9</v>
      </c>
      <c r="Y84" s="29" t="e">
        <v>#NULL!</v>
      </c>
      <c r="Z84" s="29" t="e">
        <v>#NULL!</v>
      </c>
      <c r="AA84" s="29" t="e">
        <v>#NULL!</v>
      </c>
      <c r="AB84" s="29" t="e">
        <v>#NULL!</v>
      </c>
      <c r="AC84" t="s">
        <v>288</v>
      </c>
      <c r="AD84" s="29" t="e">
        <v>#NULL!</v>
      </c>
      <c r="AE84" s="29" t="e">
        <v>#NULL!</v>
      </c>
      <c r="AF84" s="29" t="e">
        <v>#NULL!</v>
      </c>
      <c r="AG84" s="29" t="e">
        <v>#NULL!</v>
      </c>
      <c r="AI84" s="29" t="e">
        <v>#NULL!</v>
      </c>
      <c r="AJ84" s="29" t="e">
        <v>#NULL!</v>
      </c>
      <c r="AK84" s="29" t="e">
        <v>#NULL!</v>
      </c>
      <c r="AL84" s="29" t="e">
        <v>#NULL!</v>
      </c>
      <c r="AM84" t="s">
        <v>288</v>
      </c>
      <c r="AN84" s="29" t="e">
        <v>#NULL!</v>
      </c>
      <c r="AO84" s="29" t="e">
        <v>#NULL!</v>
      </c>
      <c r="AP84" s="29" t="e">
        <v>#NULL!</v>
      </c>
      <c r="AQ84" s="29" t="e">
        <v>#NULL!</v>
      </c>
      <c r="AS84" s="29" t="e">
        <v>#NULL!</v>
      </c>
      <c r="AT84" s="29" t="e">
        <v>#NULL!</v>
      </c>
      <c r="AU84" s="29" t="e">
        <v>#NULL!</v>
      </c>
      <c r="AV84" s="29" t="e">
        <v>#NULL!</v>
      </c>
      <c r="AW84" t="s">
        <v>288</v>
      </c>
      <c r="AX84" s="29" t="e">
        <v>#NULL!</v>
      </c>
      <c r="AY84" s="29" t="e">
        <v>#NULL!</v>
      </c>
      <c r="AZ84" s="29" t="e">
        <v>#NULL!</v>
      </c>
      <c r="BA84" s="29" t="e">
        <v>#NULL!</v>
      </c>
      <c r="BC84" s="29" t="e">
        <v>#NULL!</v>
      </c>
      <c r="BD84" s="29" t="e">
        <v>#NULL!</v>
      </c>
      <c r="BE84" s="29" t="e">
        <v>#NULL!</v>
      </c>
      <c r="BF84" s="29" t="e">
        <v>#NULL!</v>
      </c>
      <c r="BG84" t="s">
        <v>288</v>
      </c>
      <c r="BH84" s="29" t="e">
        <v>#NULL!</v>
      </c>
      <c r="BI84" s="29" t="e">
        <v>#NULL!</v>
      </c>
      <c r="BJ84" s="29" t="e">
        <v>#NULL!</v>
      </c>
      <c r="BK84" s="29" t="e">
        <v>#NULL!</v>
      </c>
      <c r="BL84" s="28">
        <v>2</v>
      </c>
      <c r="BM84" s="28">
        <v>6</v>
      </c>
      <c r="BN84" t="s">
        <v>550</v>
      </c>
      <c r="BO84" s="28">
        <v>99</v>
      </c>
      <c r="BP84" s="29" t="e">
        <v>#NULL!</v>
      </c>
      <c r="BQ84" s="29" t="e">
        <v>#NULL!</v>
      </c>
      <c r="BR84" s="29" t="e">
        <v>#NULL!</v>
      </c>
      <c r="BS84" s="28">
        <v>9</v>
      </c>
      <c r="BT84" t="s">
        <v>550</v>
      </c>
      <c r="BU84" s="28">
        <v>99</v>
      </c>
      <c r="BV84" s="29" t="e">
        <v>#NULL!</v>
      </c>
      <c r="BW84" s="29" t="e">
        <v>#NULL!</v>
      </c>
      <c r="BX84" s="29" t="e">
        <v>#NULL!</v>
      </c>
      <c r="BZ84" s="29" t="e">
        <v>#NULL!</v>
      </c>
      <c r="CA84" s="29" t="e">
        <v>#NULL!</v>
      </c>
      <c r="CB84" s="29" t="e">
        <v>#NULL!</v>
      </c>
      <c r="CC84" s="28">
        <v>2</v>
      </c>
      <c r="CD84" s="29" t="e">
        <v>#NULL!</v>
      </c>
      <c r="CE84" s="28">
        <v>2</v>
      </c>
      <c r="CF84" s="29" t="e">
        <v>#NULL!</v>
      </c>
      <c r="CG84" s="29" t="e">
        <v>#NULL!</v>
      </c>
      <c r="CI84" s="29" t="e">
        <v>#NULL!</v>
      </c>
      <c r="CJ84" s="29" t="e">
        <v>#NULL!</v>
      </c>
      <c r="CK84" s="29" t="e">
        <v>#NULL!</v>
      </c>
      <c r="CL84" s="29" t="e">
        <v>#NULL!</v>
      </c>
      <c r="CN84" s="29" t="e">
        <v>#NULL!</v>
      </c>
      <c r="CO84" s="29" t="e">
        <v>#NULL!</v>
      </c>
      <c r="CP84" s="29" t="e">
        <v>#NULL!</v>
      </c>
      <c r="CQ84" s="28">
        <v>2</v>
      </c>
      <c r="CR84" s="29" t="e">
        <v>#NULL!</v>
      </c>
      <c r="CS84" s="28">
        <v>10</v>
      </c>
      <c r="CT84" s="28">
        <v>10</v>
      </c>
      <c r="CU84" s="28">
        <v>10</v>
      </c>
      <c r="CV84" s="28">
        <v>10</v>
      </c>
      <c r="CW84" s="28">
        <v>10</v>
      </c>
      <c r="CX84" s="28">
        <v>10</v>
      </c>
      <c r="CY84" s="28">
        <v>10</v>
      </c>
      <c r="DA84" s="29" t="e">
        <v>#NULL!</v>
      </c>
      <c r="DB84" s="29" t="e">
        <v>#NULL!</v>
      </c>
      <c r="DC84" s="28">
        <v>1</v>
      </c>
      <c r="DD84" s="28">
        <v>0</v>
      </c>
      <c r="DE84" s="28">
        <v>1</v>
      </c>
      <c r="DF84" s="28">
        <v>0</v>
      </c>
      <c r="DG84" s="28">
        <v>0</v>
      </c>
      <c r="DH84" s="28">
        <v>0</v>
      </c>
      <c r="DI84" s="28">
        <v>0</v>
      </c>
      <c r="DJ84" s="28">
        <v>0</v>
      </c>
      <c r="DK84" s="28">
        <v>0</v>
      </c>
      <c r="DL84" s="28">
        <v>0</v>
      </c>
      <c r="DN84" s="28">
        <v>2</v>
      </c>
      <c r="DO84" t="s">
        <v>1098</v>
      </c>
      <c r="DP84" s="28">
        <v>4</v>
      </c>
      <c r="DQ84" s="29" t="e">
        <v>#NULL!</v>
      </c>
      <c r="DR84" s="29" t="e">
        <v>#NULL!</v>
      </c>
      <c r="DT84" s="29" t="e">
        <v>#NULL!</v>
      </c>
      <c r="DU84" s="29" t="e">
        <v>#NULL!</v>
      </c>
      <c r="DV84" s="29" t="e">
        <v>#NULL!</v>
      </c>
      <c r="DW84" s="28">
        <v>1</v>
      </c>
      <c r="DX84" s="28">
        <v>1</v>
      </c>
      <c r="DY84" t="s">
        <v>550</v>
      </c>
      <c r="DZ84" s="28">
        <v>99</v>
      </c>
      <c r="EA84" s="29" t="e">
        <v>#NULL!</v>
      </c>
      <c r="EI84" s="29" t="e">
        <v>#NULL!</v>
      </c>
      <c r="EJ84" s="29" t="e">
        <v>#NULL!</v>
      </c>
      <c r="EK84" s="29" t="e">
        <v>#NULL!</v>
      </c>
      <c r="EL84" s="29" t="e">
        <v>#NULL!</v>
      </c>
      <c r="EM84" s="28">
        <v>10</v>
      </c>
      <c r="EN84" s="28">
        <v>1</v>
      </c>
      <c r="EP84" s="28">
        <v>5</v>
      </c>
      <c r="EQ84" s="28">
        <v>1</v>
      </c>
      <c r="ER84" s="28">
        <v>2</v>
      </c>
      <c r="ES84" s="28">
        <v>78759</v>
      </c>
      <c r="ET84" s="28">
        <v>2</v>
      </c>
      <c r="EU84" s="28">
        <v>4</v>
      </c>
      <c r="EV84" s="28">
        <v>6</v>
      </c>
      <c r="EW84" s="28">
        <v>5</v>
      </c>
      <c r="EX84" s="28">
        <v>1</v>
      </c>
      <c r="EY84" t="s">
        <v>1099</v>
      </c>
      <c r="EZ84" t="s">
        <v>1100</v>
      </c>
      <c r="FB84" t="s">
        <v>1101</v>
      </c>
      <c r="FC84" t="s">
        <v>1102</v>
      </c>
      <c r="FD84" s="29" t="e">
        <v>#NULL!</v>
      </c>
      <c r="FE84" s="29" t="e">
        <v>#NULL!</v>
      </c>
      <c r="FF84" s="28">
        <v>2</v>
      </c>
      <c r="FH84" t="s">
        <v>1103</v>
      </c>
      <c r="FI84" t="s">
        <v>1104</v>
      </c>
    </row>
    <row r="85" spans="1:165" x14ac:dyDescent="0.15">
      <c r="A85" s="28">
        <v>516</v>
      </c>
      <c r="B85" s="28">
        <v>1</v>
      </c>
      <c r="C85" s="28">
        <v>2</v>
      </c>
      <c r="D85" s="28">
        <v>1</v>
      </c>
      <c r="E85" s="29" t="e">
        <v>#NULL!</v>
      </c>
      <c r="F85" s="28">
        <v>3</v>
      </c>
      <c r="G85" s="28">
        <v>2</v>
      </c>
      <c r="H85" s="28">
        <v>2</v>
      </c>
      <c r="J85" s="28">
        <v>1</v>
      </c>
      <c r="K85" s="28">
        <v>20</v>
      </c>
      <c r="N85" t="s">
        <v>1105</v>
      </c>
      <c r="P85" s="29" t="e">
        <v>#NULL!</v>
      </c>
      <c r="Q85" s="29" t="e">
        <v>#NULL!</v>
      </c>
      <c r="R85" s="29" t="e">
        <v>#NULL!</v>
      </c>
      <c r="S85" s="29" t="e">
        <v>#NULL!</v>
      </c>
      <c r="T85" s="28">
        <v>2</v>
      </c>
      <c r="U85" s="28">
        <v>1</v>
      </c>
      <c r="V85" s="28">
        <v>1</v>
      </c>
      <c r="W85" s="28">
        <v>2</v>
      </c>
      <c r="X85" t="s">
        <v>1106</v>
      </c>
      <c r="Y85" s="28">
        <v>9</v>
      </c>
      <c r="Z85" s="29" t="e">
        <v>#NULL!</v>
      </c>
      <c r="AA85" s="29" t="e">
        <v>#NULL!</v>
      </c>
      <c r="AB85" s="29" t="e">
        <v>#NULL!</v>
      </c>
      <c r="AD85" s="29" t="e">
        <v>#NULL!</v>
      </c>
      <c r="AE85" s="29" t="e">
        <v>#NULL!</v>
      </c>
      <c r="AF85" s="29" t="e">
        <v>#NULL!</v>
      </c>
      <c r="AG85" s="29" t="e">
        <v>#NULL!</v>
      </c>
      <c r="AH85" t="s">
        <v>1107</v>
      </c>
      <c r="AI85" s="28">
        <v>6</v>
      </c>
      <c r="AJ85" s="29" t="e">
        <v>#NULL!</v>
      </c>
      <c r="AK85" s="29" t="e">
        <v>#NULL!</v>
      </c>
      <c r="AL85" s="29" t="e">
        <v>#NULL!</v>
      </c>
      <c r="AN85" s="29" t="e">
        <v>#NULL!</v>
      </c>
      <c r="AO85" s="29" t="e">
        <v>#NULL!</v>
      </c>
      <c r="AP85" s="29" t="e">
        <v>#NULL!</v>
      </c>
      <c r="AQ85" s="29" t="e">
        <v>#NULL!</v>
      </c>
      <c r="AR85" t="s">
        <v>1108</v>
      </c>
      <c r="AS85" s="28">
        <v>4</v>
      </c>
      <c r="AT85" s="29" t="e">
        <v>#NULL!</v>
      </c>
      <c r="AU85" s="29" t="e">
        <v>#NULL!</v>
      </c>
      <c r="AV85" s="29" t="e">
        <v>#NULL!</v>
      </c>
      <c r="AX85" s="29" t="e">
        <v>#NULL!</v>
      </c>
      <c r="AY85" s="29" t="e">
        <v>#NULL!</v>
      </c>
      <c r="AZ85" s="29" t="e">
        <v>#NULL!</v>
      </c>
      <c r="BA85" s="29" t="e">
        <v>#NULL!</v>
      </c>
      <c r="BB85" t="s">
        <v>1109</v>
      </c>
      <c r="BC85" s="28">
        <v>2</v>
      </c>
      <c r="BD85" s="29" t="e">
        <v>#NULL!</v>
      </c>
      <c r="BE85" s="29" t="e">
        <v>#NULL!</v>
      </c>
      <c r="BF85" s="29" t="e">
        <v>#NULL!</v>
      </c>
      <c r="BH85" s="29" t="e">
        <v>#NULL!</v>
      </c>
      <c r="BI85" s="29" t="e">
        <v>#NULL!</v>
      </c>
      <c r="BJ85" s="29" t="e">
        <v>#NULL!</v>
      </c>
      <c r="BK85" s="29" t="e">
        <v>#NULL!</v>
      </c>
      <c r="BL85" s="28">
        <v>5</v>
      </c>
      <c r="BM85" s="28">
        <v>10</v>
      </c>
      <c r="BN85" t="s">
        <v>1110</v>
      </c>
      <c r="BO85" s="28">
        <v>97</v>
      </c>
      <c r="BP85" s="29" t="e">
        <v>#NULL!</v>
      </c>
      <c r="BQ85" s="29" t="e">
        <v>#NULL!</v>
      </c>
      <c r="BR85" s="29" t="e">
        <v>#NULL!</v>
      </c>
      <c r="BS85" s="28">
        <v>10</v>
      </c>
      <c r="BT85" t="s">
        <v>1111</v>
      </c>
      <c r="BU85" s="28">
        <v>21</v>
      </c>
      <c r="BV85" s="29" t="e">
        <v>#NULL!</v>
      </c>
      <c r="BW85" s="29" t="e">
        <v>#NULL!</v>
      </c>
      <c r="BX85" s="29" t="e">
        <v>#NULL!</v>
      </c>
      <c r="BZ85" s="29" t="e">
        <v>#NULL!</v>
      </c>
      <c r="CA85" s="29" t="e">
        <v>#NULL!</v>
      </c>
      <c r="CB85" s="29" t="e">
        <v>#NULL!</v>
      </c>
      <c r="CC85" s="28">
        <v>2</v>
      </c>
      <c r="CD85" s="29" t="e">
        <v>#NULL!</v>
      </c>
      <c r="CE85" s="28">
        <v>2</v>
      </c>
      <c r="CF85" s="29" t="e">
        <v>#NULL!</v>
      </c>
      <c r="CG85" s="29" t="e">
        <v>#NULL!</v>
      </c>
      <c r="CI85" s="29" t="e">
        <v>#NULL!</v>
      </c>
      <c r="CJ85" s="29" t="e">
        <v>#NULL!</v>
      </c>
      <c r="CK85" s="29" t="e">
        <v>#NULL!</v>
      </c>
      <c r="CL85" s="29" t="e">
        <v>#NULL!</v>
      </c>
      <c r="CN85" s="29" t="e">
        <v>#NULL!</v>
      </c>
      <c r="CO85" s="29" t="e">
        <v>#NULL!</v>
      </c>
      <c r="CP85" s="29" t="e">
        <v>#NULL!</v>
      </c>
      <c r="CQ85" s="28">
        <v>2</v>
      </c>
      <c r="CR85" s="29" t="e">
        <v>#NULL!</v>
      </c>
      <c r="CS85" s="28">
        <v>9</v>
      </c>
      <c r="CT85" s="28">
        <v>3</v>
      </c>
      <c r="CU85" s="28">
        <v>7</v>
      </c>
      <c r="CV85" s="28">
        <v>1</v>
      </c>
      <c r="CW85" s="28">
        <v>8</v>
      </c>
      <c r="CX85" s="28">
        <v>9</v>
      </c>
      <c r="CY85" s="28">
        <v>5</v>
      </c>
      <c r="CZ85" t="s">
        <v>1112</v>
      </c>
      <c r="DA85" s="28">
        <v>97</v>
      </c>
      <c r="DB85" s="29" t="e">
        <v>#NULL!</v>
      </c>
      <c r="DC85" s="28">
        <v>1</v>
      </c>
      <c r="DD85" s="28">
        <v>0</v>
      </c>
      <c r="DE85" s="28">
        <v>1</v>
      </c>
      <c r="DF85" s="28">
        <v>0</v>
      </c>
      <c r="DG85" s="28">
        <v>0</v>
      </c>
      <c r="DH85" s="28">
        <v>0</v>
      </c>
      <c r="DI85" s="28">
        <v>1</v>
      </c>
      <c r="DJ85" s="28">
        <v>0</v>
      </c>
      <c r="DK85" s="28">
        <v>0</v>
      </c>
      <c r="DL85" s="28">
        <v>1</v>
      </c>
      <c r="DM85" t="s">
        <v>1113</v>
      </c>
      <c r="DN85" s="28">
        <v>2</v>
      </c>
      <c r="DO85" t="s">
        <v>1114</v>
      </c>
      <c r="DP85" s="28">
        <v>4</v>
      </c>
      <c r="DQ85" s="29" t="e">
        <v>#NULL!</v>
      </c>
      <c r="DR85" s="29" t="e">
        <v>#NULL!</v>
      </c>
      <c r="DT85" s="29" t="e">
        <v>#NULL!</v>
      </c>
      <c r="DU85" s="29" t="e">
        <v>#NULL!</v>
      </c>
      <c r="DV85" s="29" t="e">
        <v>#NULL!</v>
      </c>
      <c r="DW85" s="28">
        <v>1</v>
      </c>
      <c r="DX85" s="28">
        <v>2</v>
      </c>
      <c r="DZ85" s="29" t="e">
        <v>#NULL!</v>
      </c>
      <c r="EA85" s="29" t="e">
        <v>#NULL!</v>
      </c>
      <c r="EI85" s="29" t="e">
        <v>#NULL!</v>
      </c>
      <c r="EJ85" s="29" t="e">
        <v>#NULL!</v>
      </c>
      <c r="EK85" s="29" t="e">
        <v>#NULL!</v>
      </c>
      <c r="EL85" s="29" t="e">
        <v>#NULL!</v>
      </c>
      <c r="EM85" s="28">
        <v>10</v>
      </c>
      <c r="EN85" s="28">
        <v>1</v>
      </c>
      <c r="EP85" s="28">
        <v>2</v>
      </c>
      <c r="EQ85" s="28">
        <v>2</v>
      </c>
      <c r="ER85" s="28">
        <v>2</v>
      </c>
      <c r="ES85" s="28">
        <v>78704</v>
      </c>
      <c r="ET85" s="28">
        <v>1</v>
      </c>
      <c r="EU85" s="28">
        <v>5</v>
      </c>
      <c r="EV85" s="28">
        <v>8</v>
      </c>
      <c r="EW85" s="28">
        <v>5</v>
      </c>
      <c r="EX85" s="28">
        <v>2</v>
      </c>
      <c r="EY85" t="s">
        <v>1115</v>
      </c>
      <c r="EZ85" t="s">
        <v>1116</v>
      </c>
      <c r="FB85" t="s">
        <v>1117</v>
      </c>
      <c r="FC85" t="s">
        <v>1118</v>
      </c>
      <c r="FD85" s="29" t="e">
        <v>#NULL!</v>
      </c>
      <c r="FE85" s="29" t="e">
        <v>#NULL!</v>
      </c>
      <c r="FF85" s="28">
        <v>3</v>
      </c>
      <c r="FH85" t="s">
        <v>1119</v>
      </c>
      <c r="FI85" t="s">
        <v>1120</v>
      </c>
    </row>
    <row r="86" spans="1:165" x14ac:dyDescent="0.15">
      <c r="A86" s="28">
        <v>522</v>
      </c>
      <c r="B86" s="28">
        <v>1</v>
      </c>
      <c r="C86" s="28">
        <v>2</v>
      </c>
      <c r="D86" s="28">
        <v>1</v>
      </c>
      <c r="E86" s="29" t="e">
        <v>#NULL!</v>
      </c>
      <c r="F86" s="28">
        <v>2</v>
      </c>
      <c r="G86" s="28">
        <v>2</v>
      </c>
      <c r="H86" s="28">
        <v>2</v>
      </c>
      <c r="J86" s="28">
        <v>1</v>
      </c>
      <c r="K86" s="28">
        <v>4</v>
      </c>
      <c r="P86" s="29" t="e">
        <v>#NULL!</v>
      </c>
      <c r="Q86" s="29" t="e">
        <v>#NULL!</v>
      </c>
      <c r="R86" s="29" t="e">
        <v>#NULL!</v>
      </c>
      <c r="S86" s="29" t="e">
        <v>#NULL!</v>
      </c>
      <c r="T86" s="28">
        <v>5</v>
      </c>
      <c r="U86" s="28">
        <v>5</v>
      </c>
      <c r="V86" s="28">
        <v>5</v>
      </c>
      <c r="W86" s="28">
        <v>1</v>
      </c>
      <c r="Y86" s="29" t="e">
        <v>#NULL!</v>
      </c>
      <c r="Z86" s="29" t="e">
        <v>#NULL!</v>
      </c>
      <c r="AA86" s="29" t="e">
        <v>#NULL!</v>
      </c>
      <c r="AB86" s="29" t="e">
        <v>#NULL!</v>
      </c>
      <c r="AD86" s="29" t="e">
        <v>#NULL!</v>
      </c>
      <c r="AE86" s="29" t="e">
        <v>#NULL!</v>
      </c>
      <c r="AF86" s="29" t="e">
        <v>#NULL!</v>
      </c>
      <c r="AG86" s="29" t="e">
        <v>#NULL!</v>
      </c>
      <c r="AI86" s="29" t="e">
        <v>#NULL!</v>
      </c>
      <c r="AJ86" s="29" t="e">
        <v>#NULL!</v>
      </c>
      <c r="AK86" s="29" t="e">
        <v>#NULL!</v>
      </c>
      <c r="AL86" s="29" t="e">
        <v>#NULL!</v>
      </c>
      <c r="AN86" s="29" t="e">
        <v>#NULL!</v>
      </c>
      <c r="AO86" s="29" t="e">
        <v>#NULL!</v>
      </c>
      <c r="AP86" s="29" t="e">
        <v>#NULL!</v>
      </c>
      <c r="AQ86" s="29" t="e">
        <v>#NULL!</v>
      </c>
      <c r="AS86" s="29" t="e">
        <v>#NULL!</v>
      </c>
      <c r="AT86" s="29" t="e">
        <v>#NULL!</v>
      </c>
      <c r="AU86" s="29" t="e">
        <v>#NULL!</v>
      </c>
      <c r="AV86" s="29" t="e">
        <v>#NULL!</v>
      </c>
      <c r="AX86" s="29" t="e">
        <v>#NULL!</v>
      </c>
      <c r="AY86" s="29" t="e">
        <v>#NULL!</v>
      </c>
      <c r="AZ86" s="29" t="e">
        <v>#NULL!</v>
      </c>
      <c r="BA86" s="29" t="e">
        <v>#NULL!</v>
      </c>
      <c r="BB86" t="s">
        <v>1121</v>
      </c>
      <c r="BC86" s="28">
        <v>2</v>
      </c>
      <c r="BD86" s="29" t="e">
        <v>#NULL!</v>
      </c>
      <c r="BE86" s="29" t="e">
        <v>#NULL!</v>
      </c>
      <c r="BF86" s="29" t="e">
        <v>#NULL!</v>
      </c>
      <c r="BH86" s="29" t="e">
        <v>#NULL!</v>
      </c>
      <c r="BI86" s="29" t="e">
        <v>#NULL!</v>
      </c>
      <c r="BJ86" s="29" t="e">
        <v>#NULL!</v>
      </c>
      <c r="BK86" s="29" t="e">
        <v>#NULL!</v>
      </c>
      <c r="BL86" s="28">
        <v>2</v>
      </c>
      <c r="BM86" s="28">
        <v>9</v>
      </c>
      <c r="BN86" t="s">
        <v>1122</v>
      </c>
      <c r="BO86" s="28">
        <v>20</v>
      </c>
      <c r="BP86" s="29" t="e">
        <v>#NULL!</v>
      </c>
      <c r="BQ86" s="29" t="e">
        <v>#NULL!</v>
      </c>
      <c r="BR86" s="29" t="e">
        <v>#NULL!</v>
      </c>
      <c r="BS86" s="28">
        <v>1</v>
      </c>
      <c r="BT86" t="s">
        <v>1123</v>
      </c>
      <c r="BU86" s="28">
        <v>21</v>
      </c>
      <c r="BV86" s="29" t="e">
        <v>#NULL!</v>
      </c>
      <c r="BW86" s="29" t="e">
        <v>#NULL!</v>
      </c>
      <c r="BX86" s="29" t="e">
        <v>#NULL!</v>
      </c>
      <c r="BZ86" s="29" t="e">
        <v>#NULL!</v>
      </c>
      <c r="CA86" s="29" t="e">
        <v>#NULL!</v>
      </c>
      <c r="CB86" s="29" t="e">
        <v>#NULL!</v>
      </c>
      <c r="CC86" s="28">
        <v>1</v>
      </c>
      <c r="CD86" s="28">
        <v>5</v>
      </c>
      <c r="CE86" s="28">
        <v>1</v>
      </c>
      <c r="CF86" s="28">
        <v>1</v>
      </c>
      <c r="CG86" s="28">
        <v>2</v>
      </c>
      <c r="CH86" t="s">
        <v>1124</v>
      </c>
      <c r="CI86" s="28">
        <v>1</v>
      </c>
      <c r="CJ86" s="29" t="e">
        <v>#NULL!</v>
      </c>
      <c r="CK86" s="29" t="e">
        <v>#NULL!</v>
      </c>
      <c r="CL86" s="28">
        <v>3</v>
      </c>
      <c r="CM86" t="s">
        <v>1125</v>
      </c>
      <c r="CN86" s="28">
        <v>1</v>
      </c>
      <c r="CO86" s="29" t="e">
        <v>#NULL!</v>
      </c>
      <c r="CP86" s="29" t="e">
        <v>#NULL!</v>
      </c>
      <c r="CQ86" s="28">
        <v>2</v>
      </c>
      <c r="CR86" s="29" t="e">
        <v>#NULL!</v>
      </c>
      <c r="CS86" s="28">
        <v>7</v>
      </c>
      <c r="CT86" s="28">
        <v>5</v>
      </c>
      <c r="CU86" s="28">
        <v>5</v>
      </c>
      <c r="CV86" s="28">
        <v>3</v>
      </c>
      <c r="CW86" s="28">
        <v>3</v>
      </c>
      <c r="CX86" s="28">
        <v>8</v>
      </c>
      <c r="CY86" s="28">
        <v>2</v>
      </c>
      <c r="CZ86" t="s">
        <v>1126</v>
      </c>
      <c r="DA86" s="28">
        <v>4</v>
      </c>
      <c r="DB86" s="29" t="e">
        <v>#NULL!</v>
      </c>
      <c r="DC86" s="28">
        <v>3</v>
      </c>
      <c r="DD86" s="28">
        <v>0</v>
      </c>
      <c r="DE86" s="28">
        <v>0</v>
      </c>
      <c r="DF86" s="28">
        <v>0</v>
      </c>
      <c r="DG86" s="28">
        <v>0</v>
      </c>
      <c r="DH86" s="28">
        <v>0</v>
      </c>
      <c r="DI86" s="28">
        <v>0</v>
      </c>
      <c r="DJ86" s="28">
        <v>1</v>
      </c>
      <c r="DK86" s="28">
        <v>0</v>
      </c>
      <c r="DL86" s="28">
        <v>0</v>
      </c>
      <c r="DN86" s="28">
        <v>1</v>
      </c>
      <c r="DP86" s="29" t="e">
        <v>#NULL!</v>
      </c>
      <c r="DQ86" s="29" t="e">
        <v>#NULL!</v>
      </c>
      <c r="DR86" s="29" t="e">
        <v>#NULL!</v>
      </c>
      <c r="DT86" s="29" t="e">
        <v>#NULL!</v>
      </c>
      <c r="DU86" s="29" t="e">
        <v>#NULL!</v>
      </c>
      <c r="DV86" s="29" t="e">
        <v>#NULL!</v>
      </c>
      <c r="DW86" s="28">
        <v>1</v>
      </c>
      <c r="DX86" s="28">
        <v>2</v>
      </c>
      <c r="DZ86" s="29" t="e">
        <v>#NULL!</v>
      </c>
      <c r="EA86" s="29" t="e">
        <v>#NULL!</v>
      </c>
      <c r="EI86" s="29" t="e">
        <v>#NULL!</v>
      </c>
      <c r="EJ86" s="29" t="e">
        <v>#NULL!</v>
      </c>
      <c r="EK86" s="29" t="e">
        <v>#NULL!</v>
      </c>
      <c r="EL86" s="29" t="e">
        <v>#NULL!</v>
      </c>
      <c r="EM86" s="28">
        <v>7</v>
      </c>
      <c r="EN86" s="28">
        <v>1</v>
      </c>
      <c r="EP86" s="28">
        <v>1</v>
      </c>
      <c r="EQ86" s="28">
        <v>1</v>
      </c>
      <c r="ER86" s="28">
        <v>2</v>
      </c>
      <c r="ES86" s="28">
        <v>78749</v>
      </c>
      <c r="ET86" s="28">
        <v>2</v>
      </c>
      <c r="EU86" s="28">
        <v>5</v>
      </c>
      <c r="EV86" s="28">
        <v>6</v>
      </c>
      <c r="EW86" s="28">
        <v>5</v>
      </c>
      <c r="EX86" s="28">
        <v>2</v>
      </c>
      <c r="EY86" t="s">
        <v>1127</v>
      </c>
      <c r="EZ86" t="s">
        <v>1128</v>
      </c>
      <c r="FB86" t="s">
        <v>1129</v>
      </c>
      <c r="FC86" t="s">
        <v>1130</v>
      </c>
      <c r="FD86" s="29" t="e">
        <v>#NULL!</v>
      </c>
      <c r="FE86" s="29" t="e">
        <v>#NULL!</v>
      </c>
      <c r="FF86" s="28">
        <v>2</v>
      </c>
      <c r="FH86" t="s">
        <v>1131</v>
      </c>
      <c r="FI86" t="s">
        <v>1132</v>
      </c>
    </row>
    <row r="87" spans="1:165" x14ac:dyDescent="0.15">
      <c r="A87" s="28">
        <v>526</v>
      </c>
      <c r="B87" s="28">
        <v>1</v>
      </c>
      <c r="C87" s="28">
        <v>2</v>
      </c>
      <c r="D87" s="28">
        <v>1</v>
      </c>
      <c r="E87" s="29" t="e">
        <v>#NULL!</v>
      </c>
      <c r="F87" s="28">
        <v>2</v>
      </c>
      <c r="G87" s="28">
        <v>2</v>
      </c>
      <c r="H87" s="28">
        <v>2</v>
      </c>
      <c r="J87" s="28">
        <v>1</v>
      </c>
      <c r="K87" s="28">
        <v>2</v>
      </c>
      <c r="P87" s="29" t="e">
        <v>#NULL!</v>
      </c>
      <c r="Q87" s="29" t="e">
        <v>#NULL!</v>
      </c>
      <c r="R87" s="29" t="e">
        <v>#NULL!</v>
      </c>
      <c r="S87" s="29" t="e">
        <v>#NULL!</v>
      </c>
      <c r="T87" s="28">
        <v>10</v>
      </c>
      <c r="U87" s="28">
        <v>10</v>
      </c>
      <c r="V87" s="28">
        <v>10</v>
      </c>
      <c r="W87" s="28">
        <v>10</v>
      </c>
      <c r="Y87" s="29" t="e">
        <v>#NULL!</v>
      </c>
      <c r="Z87" s="29" t="e">
        <v>#NULL!</v>
      </c>
      <c r="AA87" s="29" t="e">
        <v>#NULL!</v>
      </c>
      <c r="AB87" s="29" t="e">
        <v>#NULL!</v>
      </c>
      <c r="AC87" t="s">
        <v>248</v>
      </c>
      <c r="AD87" s="29" t="e">
        <v>#NULL!</v>
      </c>
      <c r="AE87" s="29" t="e">
        <v>#NULL!</v>
      </c>
      <c r="AF87" s="29" t="e">
        <v>#NULL!</v>
      </c>
      <c r="AG87" s="29" t="e">
        <v>#NULL!</v>
      </c>
      <c r="AI87" s="29" t="e">
        <v>#NULL!</v>
      </c>
      <c r="AJ87" s="29" t="e">
        <v>#NULL!</v>
      </c>
      <c r="AK87" s="29" t="e">
        <v>#NULL!</v>
      </c>
      <c r="AL87" s="29" t="e">
        <v>#NULL!</v>
      </c>
      <c r="AM87" t="s">
        <v>248</v>
      </c>
      <c r="AN87" s="29" t="e">
        <v>#NULL!</v>
      </c>
      <c r="AO87" s="29" t="e">
        <v>#NULL!</v>
      </c>
      <c r="AP87" s="29" t="e">
        <v>#NULL!</v>
      </c>
      <c r="AQ87" s="29" t="e">
        <v>#NULL!</v>
      </c>
      <c r="AS87" s="29" t="e">
        <v>#NULL!</v>
      </c>
      <c r="AT87" s="29" t="e">
        <v>#NULL!</v>
      </c>
      <c r="AU87" s="29" t="e">
        <v>#NULL!</v>
      </c>
      <c r="AV87" s="29" t="e">
        <v>#NULL!</v>
      </c>
      <c r="AW87" t="s">
        <v>248</v>
      </c>
      <c r="AX87" s="29" t="e">
        <v>#NULL!</v>
      </c>
      <c r="AY87" s="29" t="e">
        <v>#NULL!</v>
      </c>
      <c r="AZ87" s="29" t="e">
        <v>#NULL!</v>
      </c>
      <c r="BA87" s="29" t="e">
        <v>#NULL!</v>
      </c>
      <c r="BC87" s="29" t="e">
        <v>#NULL!</v>
      </c>
      <c r="BD87" s="29" t="e">
        <v>#NULL!</v>
      </c>
      <c r="BE87" s="29" t="e">
        <v>#NULL!</v>
      </c>
      <c r="BF87" s="29" t="e">
        <v>#NULL!</v>
      </c>
      <c r="BG87" t="s">
        <v>248</v>
      </c>
      <c r="BH87" s="29" t="e">
        <v>#NULL!</v>
      </c>
      <c r="BI87" s="29" t="e">
        <v>#NULL!</v>
      </c>
      <c r="BJ87" s="29" t="e">
        <v>#NULL!</v>
      </c>
      <c r="BK87" s="29" t="e">
        <v>#NULL!</v>
      </c>
      <c r="BL87" s="28">
        <v>2</v>
      </c>
      <c r="BM87" s="28">
        <v>4</v>
      </c>
      <c r="BN87" t="s">
        <v>741</v>
      </c>
      <c r="BO87" s="28">
        <v>98</v>
      </c>
      <c r="BP87" s="29" t="e">
        <v>#NULL!</v>
      </c>
      <c r="BQ87" s="29" t="e">
        <v>#NULL!</v>
      </c>
      <c r="BR87" s="29" t="e">
        <v>#NULL!</v>
      </c>
      <c r="BS87" s="28">
        <v>7</v>
      </c>
      <c r="BT87" t="s">
        <v>1133</v>
      </c>
      <c r="BU87" s="28">
        <v>98</v>
      </c>
      <c r="BV87" s="29" t="e">
        <v>#NULL!</v>
      </c>
      <c r="BW87" s="29" t="e">
        <v>#NULL!</v>
      </c>
      <c r="BX87" s="29" t="e">
        <v>#NULL!</v>
      </c>
      <c r="BZ87" s="29" t="e">
        <v>#NULL!</v>
      </c>
      <c r="CA87" s="29" t="e">
        <v>#NULL!</v>
      </c>
      <c r="CB87" s="29" t="e">
        <v>#NULL!</v>
      </c>
      <c r="CC87" s="28">
        <v>2</v>
      </c>
      <c r="CD87" s="29" t="e">
        <v>#NULL!</v>
      </c>
      <c r="CE87" s="28">
        <v>2</v>
      </c>
      <c r="CF87" s="29" t="e">
        <v>#NULL!</v>
      </c>
      <c r="CG87" s="29" t="e">
        <v>#NULL!</v>
      </c>
      <c r="CI87" s="29" t="e">
        <v>#NULL!</v>
      </c>
      <c r="CJ87" s="29" t="e">
        <v>#NULL!</v>
      </c>
      <c r="CK87" s="29" t="e">
        <v>#NULL!</v>
      </c>
      <c r="CL87" s="29" t="e">
        <v>#NULL!</v>
      </c>
      <c r="CN87" s="29" t="e">
        <v>#NULL!</v>
      </c>
      <c r="CO87" s="29" t="e">
        <v>#NULL!</v>
      </c>
      <c r="CP87" s="29" t="e">
        <v>#NULL!</v>
      </c>
      <c r="CQ87" s="28">
        <v>2</v>
      </c>
      <c r="CR87" s="29" t="e">
        <v>#NULL!</v>
      </c>
      <c r="CS87" s="28">
        <v>10</v>
      </c>
      <c r="CT87" s="28">
        <v>10</v>
      </c>
      <c r="CU87" s="28">
        <v>10</v>
      </c>
      <c r="CV87" s="28">
        <v>10</v>
      </c>
      <c r="CW87" s="28">
        <v>10</v>
      </c>
      <c r="CX87" s="28">
        <v>10</v>
      </c>
      <c r="CY87" s="28">
        <v>10</v>
      </c>
      <c r="DA87" s="29" t="e">
        <v>#NULL!</v>
      </c>
      <c r="DB87" s="29" t="e">
        <v>#NULL!</v>
      </c>
      <c r="DC87" s="28">
        <v>10</v>
      </c>
      <c r="DD87" s="29" t="e">
        <v>#NULL!</v>
      </c>
      <c r="DE87" s="29" t="e">
        <v>#NULL!</v>
      </c>
      <c r="DF87" s="29" t="e">
        <v>#NULL!</v>
      </c>
      <c r="DG87" s="29" t="e">
        <v>#NULL!</v>
      </c>
      <c r="DH87" s="29" t="e">
        <v>#NULL!</v>
      </c>
      <c r="DI87" s="29" t="e">
        <v>#NULL!</v>
      </c>
      <c r="DJ87" s="29" t="e">
        <v>#NULL!</v>
      </c>
      <c r="DK87" s="29" t="e">
        <v>#NULL!</v>
      </c>
      <c r="DL87" s="29" t="e">
        <v>#NULL!</v>
      </c>
      <c r="DN87" s="28">
        <v>1</v>
      </c>
      <c r="DP87" s="29" t="e">
        <v>#NULL!</v>
      </c>
      <c r="DQ87" s="29" t="e">
        <v>#NULL!</v>
      </c>
      <c r="DR87" s="29" t="e">
        <v>#NULL!</v>
      </c>
      <c r="DT87" s="29" t="e">
        <v>#NULL!</v>
      </c>
      <c r="DU87" s="29" t="e">
        <v>#NULL!</v>
      </c>
      <c r="DV87" s="29" t="e">
        <v>#NULL!</v>
      </c>
      <c r="DW87" s="28">
        <v>2</v>
      </c>
      <c r="DX87" s="28">
        <v>3</v>
      </c>
      <c r="DZ87" s="29" t="e">
        <v>#NULL!</v>
      </c>
      <c r="EA87" s="29" t="e">
        <v>#NULL!</v>
      </c>
      <c r="EI87" s="29" t="e">
        <v>#NULL!</v>
      </c>
      <c r="EJ87" s="29" t="e">
        <v>#NULL!</v>
      </c>
      <c r="EK87" s="29" t="e">
        <v>#NULL!</v>
      </c>
      <c r="EL87" s="29" t="e">
        <v>#NULL!</v>
      </c>
      <c r="EM87" s="28">
        <v>10</v>
      </c>
      <c r="EN87" s="28">
        <v>1</v>
      </c>
      <c r="EP87" s="28">
        <v>5</v>
      </c>
      <c r="EQ87" s="28">
        <v>3</v>
      </c>
      <c r="ER87" s="28">
        <v>2</v>
      </c>
      <c r="ES87" s="28">
        <v>78758</v>
      </c>
      <c r="ET87" s="28">
        <v>1</v>
      </c>
      <c r="EU87" s="28">
        <v>3</v>
      </c>
      <c r="EV87" s="28">
        <v>4</v>
      </c>
      <c r="EW87" s="28">
        <v>5</v>
      </c>
      <c r="EX87" s="28">
        <v>2</v>
      </c>
      <c r="EY87" t="s">
        <v>1134</v>
      </c>
      <c r="EZ87" t="s">
        <v>1135</v>
      </c>
      <c r="FB87" t="s">
        <v>1136</v>
      </c>
      <c r="FC87" t="s">
        <v>1137</v>
      </c>
      <c r="FD87" s="29" t="e">
        <v>#NULL!</v>
      </c>
      <c r="FE87" s="29" t="e">
        <v>#NULL!</v>
      </c>
      <c r="FF87" s="28">
        <v>3</v>
      </c>
      <c r="FH87" t="s">
        <v>1138</v>
      </c>
      <c r="FI87" t="s">
        <v>1139</v>
      </c>
    </row>
    <row r="88" spans="1:165" x14ac:dyDescent="0.15">
      <c r="A88" s="28">
        <v>532</v>
      </c>
      <c r="B88" s="28">
        <v>1</v>
      </c>
      <c r="C88" s="28">
        <v>2</v>
      </c>
      <c r="D88" s="28">
        <v>1</v>
      </c>
      <c r="E88" s="29" t="e">
        <v>#NULL!</v>
      </c>
      <c r="F88" s="28">
        <v>2</v>
      </c>
      <c r="G88" s="28">
        <v>2</v>
      </c>
      <c r="H88" s="28">
        <v>1</v>
      </c>
      <c r="J88" s="28">
        <v>2</v>
      </c>
      <c r="K88" s="28">
        <v>20</v>
      </c>
      <c r="O88" t="s">
        <v>1140</v>
      </c>
      <c r="P88" s="28">
        <v>12</v>
      </c>
      <c r="Q88" s="29" t="e">
        <v>#NULL!</v>
      </c>
      <c r="R88" s="29" t="e">
        <v>#NULL!</v>
      </c>
      <c r="S88" s="29" t="e">
        <v>#NULL!</v>
      </c>
      <c r="T88" s="28">
        <v>9</v>
      </c>
      <c r="U88" s="28">
        <v>9</v>
      </c>
      <c r="V88" s="28">
        <v>9</v>
      </c>
      <c r="W88" s="28">
        <v>8</v>
      </c>
      <c r="Y88" s="29" t="e">
        <v>#NULL!</v>
      </c>
      <c r="Z88" s="29" t="e">
        <v>#NULL!</v>
      </c>
      <c r="AA88" s="29" t="e">
        <v>#NULL!</v>
      </c>
      <c r="AB88" s="29" t="e">
        <v>#NULL!</v>
      </c>
      <c r="AC88" t="s">
        <v>1141</v>
      </c>
      <c r="AD88" s="28">
        <v>27</v>
      </c>
      <c r="AE88" s="29" t="e">
        <v>#NULL!</v>
      </c>
      <c r="AF88" s="29" t="e">
        <v>#NULL!</v>
      </c>
      <c r="AG88" s="29" t="e">
        <v>#NULL!</v>
      </c>
      <c r="AI88" s="29" t="e">
        <v>#NULL!</v>
      </c>
      <c r="AJ88" s="29" t="e">
        <v>#NULL!</v>
      </c>
      <c r="AK88" s="29" t="e">
        <v>#NULL!</v>
      </c>
      <c r="AL88" s="29" t="e">
        <v>#NULL!</v>
      </c>
      <c r="AM88" t="s">
        <v>1142</v>
      </c>
      <c r="AN88" s="28">
        <v>7</v>
      </c>
      <c r="AO88" s="28">
        <v>6</v>
      </c>
      <c r="AP88" s="29" t="e">
        <v>#NULL!</v>
      </c>
      <c r="AQ88" s="29" t="e">
        <v>#NULL!</v>
      </c>
      <c r="AS88" s="29" t="e">
        <v>#NULL!</v>
      </c>
      <c r="AT88" s="29" t="e">
        <v>#NULL!</v>
      </c>
      <c r="AU88" s="29" t="e">
        <v>#NULL!</v>
      </c>
      <c r="AV88" s="29" t="e">
        <v>#NULL!</v>
      </c>
      <c r="AW88" t="s">
        <v>1143</v>
      </c>
      <c r="AX88" s="28">
        <v>3</v>
      </c>
      <c r="AY88" s="29" t="e">
        <v>#NULL!</v>
      </c>
      <c r="AZ88" s="29" t="e">
        <v>#NULL!</v>
      </c>
      <c r="BA88" s="29" t="e">
        <v>#NULL!</v>
      </c>
      <c r="BC88" s="29" t="e">
        <v>#NULL!</v>
      </c>
      <c r="BD88" s="29" t="e">
        <v>#NULL!</v>
      </c>
      <c r="BE88" s="29" t="e">
        <v>#NULL!</v>
      </c>
      <c r="BF88" s="29" t="e">
        <v>#NULL!</v>
      </c>
      <c r="BG88" t="s">
        <v>1144</v>
      </c>
      <c r="BH88" s="28">
        <v>21</v>
      </c>
      <c r="BI88" s="29" t="e">
        <v>#NULL!</v>
      </c>
      <c r="BJ88" s="29" t="e">
        <v>#NULL!</v>
      </c>
      <c r="BK88" s="29" t="e">
        <v>#NULL!</v>
      </c>
      <c r="BL88" s="28">
        <v>2</v>
      </c>
      <c r="BM88" s="28">
        <v>3</v>
      </c>
      <c r="BN88" t="s">
        <v>1145</v>
      </c>
      <c r="BO88" s="28">
        <v>99</v>
      </c>
      <c r="BP88" s="29" t="e">
        <v>#NULL!</v>
      </c>
      <c r="BQ88" s="29" t="e">
        <v>#NULL!</v>
      </c>
      <c r="BR88" s="29" t="e">
        <v>#NULL!</v>
      </c>
      <c r="BS88" s="28">
        <v>10</v>
      </c>
      <c r="BT88" t="s">
        <v>359</v>
      </c>
      <c r="BU88" s="28">
        <v>97</v>
      </c>
      <c r="BV88" s="29" t="e">
        <v>#NULL!</v>
      </c>
      <c r="BW88" s="29" t="e">
        <v>#NULL!</v>
      </c>
      <c r="BX88" s="29" t="e">
        <v>#NULL!</v>
      </c>
      <c r="BZ88" s="29" t="e">
        <v>#NULL!</v>
      </c>
      <c r="CA88" s="29" t="e">
        <v>#NULL!</v>
      </c>
      <c r="CB88" s="29" t="e">
        <v>#NULL!</v>
      </c>
      <c r="CC88" s="28">
        <v>1</v>
      </c>
      <c r="CD88" s="28">
        <v>8</v>
      </c>
      <c r="CE88" s="28">
        <v>2</v>
      </c>
      <c r="CF88" s="29" t="e">
        <v>#NULL!</v>
      </c>
      <c r="CG88" s="29" t="e">
        <v>#NULL!</v>
      </c>
      <c r="CI88" s="29" t="e">
        <v>#NULL!</v>
      </c>
      <c r="CJ88" s="29" t="e">
        <v>#NULL!</v>
      </c>
      <c r="CK88" s="29" t="e">
        <v>#NULL!</v>
      </c>
      <c r="CL88" s="29" t="e">
        <v>#NULL!</v>
      </c>
      <c r="CN88" s="29" t="e">
        <v>#NULL!</v>
      </c>
      <c r="CO88" s="29" t="e">
        <v>#NULL!</v>
      </c>
      <c r="CP88" s="29" t="e">
        <v>#NULL!</v>
      </c>
      <c r="CQ88" s="28">
        <v>2</v>
      </c>
      <c r="CR88" s="29" t="e">
        <v>#NULL!</v>
      </c>
      <c r="CS88" s="28">
        <v>10</v>
      </c>
      <c r="CT88" s="28">
        <v>10</v>
      </c>
      <c r="CU88" s="28">
        <v>10</v>
      </c>
      <c r="CV88" s="28">
        <v>8</v>
      </c>
      <c r="CW88" s="28">
        <v>10</v>
      </c>
      <c r="CX88" s="28">
        <v>10</v>
      </c>
      <c r="CY88" s="28">
        <v>10</v>
      </c>
      <c r="DA88" s="29" t="e">
        <v>#NULL!</v>
      </c>
      <c r="DB88" s="29" t="e">
        <v>#NULL!</v>
      </c>
      <c r="DC88" s="28">
        <v>1</v>
      </c>
      <c r="DD88" s="28">
        <v>0</v>
      </c>
      <c r="DE88" s="28">
        <v>1</v>
      </c>
      <c r="DF88" s="28">
        <v>0</v>
      </c>
      <c r="DG88" s="28">
        <v>0</v>
      </c>
      <c r="DH88" s="28">
        <v>0</v>
      </c>
      <c r="DI88" s="28">
        <v>0</v>
      </c>
      <c r="DJ88" s="28">
        <v>0</v>
      </c>
      <c r="DK88" s="28">
        <v>0</v>
      </c>
      <c r="DL88" s="28">
        <v>0</v>
      </c>
      <c r="DN88" s="28">
        <v>1</v>
      </c>
      <c r="DP88" s="29" t="e">
        <v>#NULL!</v>
      </c>
      <c r="DQ88" s="29" t="e">
        <v>#NULL!</v>
      </c>
      <c r="DR88" s="29" t="e">
        <v>#NULL!</v>
      </c>
      <c r="DT88" s="29" t="e">
        <v>#NULL!</v>
      </c>
      <c r="DU88" s="29" t="e">
        <v>#NULL!</v>
      </c>
      <c r="DV88" s="29" t="e">
        <v>#NULL!</v>
      </c>
      <c r="DW88" s="28">
        <v>1</v>
      </c>
      <c r="DX88" s="28">
        <v>3</v>
      </c>
      <c r="DZ88" s="29" t="e">
        <v>#NULL!</v>
      </c>
      <c r="EA88" s="29" t="e">
        <v>#NULL!</v>
      </c>
      <c r="EI88" s="29" t="e">
        <v>#NULL!</v>
      </c>
      <c r="EJ88" s="29" t="e">
        <v>#NULL!</v>
      </c>
      <c r="EK88" s="29" t="e">
        <v>#NULL!</v>
      </c>
      <c r="EL88" s="29" t="e">
        <v>#NULL!</v>
      </c>
      <c r="EM88" s="28">
        <v>10</v>
      </c>
      <c r="EN88" s="28">
        <v>1</v>
      </c>
      <c r="EP88" s="28">
        <v>5</v>
      </c>
      <c r="EQ88" s="28">
        <v>1</v>
      </c>
      <c r="ER88" s="28">
        <v>2</v>
      </c>
      <c r="ES88" s="28">
        <v>78759</v>
      </c>
      <c r="ET88" s="28">
        <v>2</v>
      </c>
      <c r="EU88" s="28">
        <v>3</v>
      </c>
      <c r="EV88" s="28">
        <v>8</v>
      </c>
      <c r="EW88" s="28">
        <v>5</v>
      </c>
      <c r="EX88" s="28">
        <v>1</v>
      </c>
      <c r="EY88" t="s">
        <v>273</v>
      </c>
      <c r="EZ88" t="s">
        <v>1146</v>
      </c>
      <c r="FB88" t="s">
        <v>1147</v>
      </c>
      <c r="FC88" t="s">
        <v>1148</v>
      </c>
      <c r="FD88" s="29" t="e">
        <v>#NULL!</v>
      </c>
      <c r="FE88" s="29" t="e">
        <v>#NULL!</v>
      </c>
      <c r="FF88" s="28">
        <v>1</v>
      </c>
      <c r="FH88" t="s">
        <v>1149</v>
      </c>
      <c r="FI88" t="s">
        <v>1150</v>
      </c>
    </row>
    <row r="89" spans="1:165" x14ac:dyDescent="0.15">
      <c r="A89" s="28">
        <v>537</v>
      </c>
      <c r="B89" s="28">
        <v>1</v>
      </c>
      <c r="C89" s="28">
        <v>2</v>
      </c>
      <c r="D89" s="28">
        <v>1</v>
      </c>
      <c r="E89" s="29" t="e">
        <v>#NULL!</v>
      </c>
      <c r="F89" s="28">
        <v>2</v>
      </c>
      <c r="G89" s="28">
        <v>2</v>
      </c>
      <c r="H89" s="28">
        <v>3</v>
      </c>
      <c r="J89" s="28">
        <v>1</v>
      </c>
      <c r="K89" s="28">
        <v>21</v>
      </c>
      <c r="N89" t="s">
        <v>1151</v>
      </c>
      <c r="P89" s="29" t="e">
        <v>#NULL!</v>
      </c>
      <c r="Q89" s="29" t="e">
        <v>#NULL!</v>
      </c>
      <c r="R89" s="29" t="e">
        <v>#NULL!</v>
      </c>
      <c r="S89" s="29" t="e">
        <v>#NULL!</v>
      </c>
      <c r="T89" s="28">
        <v>10</v>
      </c>
      <c r="U89" s="28">
        <v>10</v>
      </c>
      <c r="V89" s="28">
        <v>10</v>
      </c>
      <c r="W89" s="28">
        <v>8</v>
      </c>
      <c r="Y89" s="29" t="e">
        <v>#NULL!</v>
      </c>
      <c r="Z89" s="29" t="e">
        <v>#NULL!</v>
      </c>
      <c r="AA89" s="29" t="e">
        <v>#NULL!</v>
      </c>
      <c r="AB89" s="29" t="e">
        <v>#NULL!</v>
      </c>
      <c r="AC89" t="s">
        <v>1152</v>
      </c>
      <c r="AD89" s="28">
        <v>20</v>
      </c>
      <c r="AE89" s="29" t="e">
        <v>#NULL!</v>
      </c>
      <c r="AF89" s="29" t="e">
        <v>#NULL!</v>
      </c>
      <c r="AG89" s="29" t="e">
        <v>#NULL!</v>
      </c>
      <c r="AI89" s="29" t="e">
        <v>#NULL!</v>
      </c>
      <c r="AJ89" s="29" t="e">
        <v>#NULL!</v>
      </c>
      <c r="AK89" s="29" t="e">
        <v>#NULL!</v>
      </c>
      <c r="AL89" s="29" t="e">
        <v>#NULL!</v>
      </c>
      <c r="AM89" t="s">
        <v>1152</v>
      </c>
      <c r="AN89" s="28">
        <v>28</v>
      </c>
      <c r="AO89" s="29" t="e">
        <v>#NULL!</v>
      </c>
      <c r="AP89" s="29" t="e">
        <v>#NULL!</v>
      </c>
      <c r="AQ89" s="29" t="e">
        <v>#NULL!</v>
      </c>
      <c r="AS89" s="29" t="e">
        <v>#NULL!</v>
      </c>
      <c r="AT89" s="29" t="e">
        <v>#NULL!</v>
      </c>
      <c r="AU89" s="29" t="e">
        <v>#NULL!</v>
      </c>
      <c r="AV89" s="29" t="e">
        <v>#NULL!</v>
      </c>
      <c r="AW89" t="s">
        <v>1152</v>
      </c>
      <c r="AX89" s="28">
        <v>28</v>
      </c>
      <c r="AY89" s="29" t="e">
        <v>#NULL!</v>
      </c>
      <c r="AZ89" s="29" t="e">
        <v>#NULL!</v>
      </c>
      <c r="BA89" s="29" t="e">
        <v>#NULL!</v>
      </c>
      <c r="BC89" s="29" t="e">
        <v>#NULL!</v>
      </c>
      <c r="BD89" s="29" t="e">
        <v>#NULL!</v>
      </c>
      <c r="BE89" s="29" t="e">
        <v>#NULL!</v>
      </c>
      <c r="BF89" s="29" t="e">
        <v>#NULL!</v>
      </c>
      <c r="BG89" t="s">
        <v>1152</v>
      </c>
      <c r="BH89" s="28">
        <v>28</v>
      </c>
      <c r="BI89" s="29" t="e">
        <v>#NULL!</v>
      </c>
      <c r="BJ89" s="29" t="e">
        <v>#NULL!</v>
      </c>
      <c r="BK89" s="29" t="e">
        <v>#NULL!</v>
      </c>
      <c r="BL89" s="28">
        <v>2</v>
      </c>
      <c r="BM89" s="28">
        <v>7</v>
      </c>
      <c r="BN89" t="s">
        <v>1153</v>
      </c>
      <c r="BO89" s="28">
        <v>98</v>
      </c>
      <c r="BP89" s="29" t="e">
        <v>#NULL!</v>
      </c>
      <c r="BQ89" s="29" t="e">
        <v>#NULL!</v>
      </c>
      <c r="BR89" s="29" t="e">
        <v>#NULL!</v>
      </c>
      <c r="BS89" s="28">
        <v>10</v>
      </c>
      <c r="BT89" t="s">
        <v>1154</v>
      </c>
      <c r="BU89" s="28">
        <v>6</v>
      </c>
      <c r="BV89" s="29" t="e">
        <v>#NULL!</v>
      </c>
      <c r="BW89" s="29" t="e">
        <v>#NULL!</v>
      </c>
      <c r="BX89" s="29" t="e">
        <v>#NULL!</v>
      </c>
      <c r="BZ89" s="29" t="e">
        <v>#NULL!</v>
      </c>
      <c r="CA89" s="29" t="e">
        <v>#NULL!</v>
      </c>
      <c r="CB89" s="29" t="e">
        <v>#NULL!</v>
      </c>
      <c r="CC89" s="28">
        <v>2</v>
      </c>
      <c r="CD89" s="29" t="e">
        <v>#NULL!</v>
      </c>
      <c r="CE89" s="28">
        <v>2</v>
      </c>
      <c r="CF89" s="29" t="e">
        <v>#NULL!</v>
      </c>
      <c r="CG89" s="29" t="e">
        <v>#NULL!</v>
      </c>
      <c r="CI89" s="29" t="e">
        <v>#NULL!</v>
      </c>
      <c r="CJ89" s="29" t="e">
        <v>#NULL!</v>
      </c>
      <c r="CK89" s="29" t="e">
        <v>#NULL!</v>
      </c>
      <c r="CL89" s="29" t="e">
        <v>#NULL!</v>
      </c>
      <c r="CN89" s="29" t="e">
        <v>#NULL!</v>
      </c>
      <c r="CO89" s="29" t="e">
        <v>#NULL!</v>
      </c>
      <c r="CP89" s="29" t="e">
        <v>#NULL!</v>
      </c>
      <c r="CQ89" s="28">
        <v>2</v>
      </c>
      <c r="CR89" s="29" t="e">
        <v>#NULL!</v>
      </c>
      <c r="CS89" s="28">
        <v>8</v>
      </c>
      <c r="CT89" s="28">
        <v>8</v>
      </c>
      <c r="CU89" s="28">
        <v>8</v>
      </c>
      <c r="CV89" s="28">
        <v>8</v>
      </c>
      <c r="CW89" s="28">
        <v>8</v>
      </c>
      <c r="CX89" s="28">
        <v>10</v>
      </c>
      <c r="CY89" s="28">
        <v>8</v>
      </c>
      <c r="DA89" s="29" t="e">
        <v>#NULL!</v>
      </c>
      <c r="DB89" s="29" t="e">
        <v>#NULL!</v>
      </c>
      <c r="DC89" s="28">
        <v>9</v>
      </c>
      <c r="DD89" s="29" t="e">
        <v>#NULL!</v>
      </c>
      <c r="DE89" s="29" t="e">
        <v>#NULL!</v>
      </c>
      <c r="DF89" s="29" t="e">
        <v>#NULL!</v>
      </c>
      <c r="DG89" s="29" t="e">
        <v>#NULL!</v>
      </c>
      <c r="DH89" s="29" t="e">
        <v>#NULL!</v>
      </c>
      <c r="DI89" s="29" t="e">
        <v>#NULL!</v>
      </c>
      <c r="DJ89" s="29" t="e">
        <v>#NULL!</v>
      </c>
      <c r="DK89" s="29" t="e">
        <v>#NULL!</v>
      </c>
      <c r="DL89" s="29" t="e">
        <v>#NULL!</v>
      </c>
      <c r="DN89" s="28">
        <v>1</v>
      </c>
      <c r="DP89" s="29" t="e">
        <v>#NULL!</v>
      </c>
      <c r="DQ89" s="29" t="e">
        <v>#NULL!</v>
      </c>
      <c r="DR89" s="29" t="e">
        <v>#NULL!</v>
      </c>
      <c r="DT89" s="29" t="e">
        <v>#NULL!</v>
      </c>
      <c r="DU89" s="29" t="e">
        <v>#NULL!</v>
      </c>
      <c r="DV89" s="29" t="e">
        <v>#NULL!</v>
      </c>
      <c r="DW89" s="28">
        <v>2</v>
      </c>
      <c r="DX89" s="28">
        <v>2</v>
      </c>
      <c r="DZ89" s="29" t="e">
        <v>#NULL!</v>
      </c>
      <c r="EA89" s="29" t="e">
        <v>#NULL!</v>
      </c>
      <c r="EI89" s="29" t="e">
        <v>#NULL!</v>
      </c>
      <c r="EJ89" s="29" t="e">
        <v>#NULL!</v>
      </c>
      <c r="EK89" s="29" t="e">
        <v>#NULL!</v>
      </c>
      <c r="EL89" s="29" t="e">
        <v>#NULL!</v>
      </c>
      <c r="EM89" s="28">
        <v>10</v>
      </c>
      <c r="EN89" s="28">
        <v>3</v>
      </c>
      <c r="EP89" s="28">
        <v>5</v>
      </c>
      <c r="EQ89" s="28">
        <v>1</v>
      </c>
      <c r="ER89" s="28">
        <v>2</v>
      </c>
      <c r="ES89" s="28">
        <v>78758</v>
      </c>
      <c r="ET89" s="28">
        <v>3</v>
      </c>
      <c r="EU89" s="28">
        <v>3</v>
      </c>
      <c r="EV89" s="28">
        <v>6</v>
      </c>
      <c r="EW89" s="28">
        <v>5</v>
      </c>
      <c r="EX89" s="28">
        <v>1</v>
      </c>
      <c r="EY89" t="s">
        <v>1155</v>
      </c>
      <c r="EZ89" t="s">
        <v>1156</v>
      </c>
      <c r="FB89" t="s">
        <v>1157</v>
      </c>
      <c r="FC89" t="s">
        <v>1158</v>
      </c>
      <c r="FD89" s="29" t="e">
        <v>#NULL!</v>
      </c>
      <c r="FE89" s="29" t="e">
        <v>#NULL!</v>
      </c>
      <c r="FF89" s="28">
        <v>3</v>
      </c>
      <c r="FH89" t="s">
        <v>1159</v>
      </c>
      <c r="FI89" t="s">
        <v>1160</v>
      </c>
    </row>
    <row r="90" spans="1:165" x14ac:dyDescent="0.15">
      <c r="A90" s="28">
        <v>539</v>
      </c>
      <c r="B90" s="28">
        <v>1</v>
      </c>
      <c r="C90" s="28">
        <v>2</v>
      </c>
      <c r="D90" s="28">
        <v>1</v>
      </c>
      <c r="E90" s="29" t="e">
        <v>#NULL!</v>
      </c>
      <c r="F90" s="28">
        <v>2</v>
      </c>
      <c r="G90" s="28">
        <v>2</v>
      </c>
      <c r="H90" s="28">
        <v>4</v>
      </c>
      <c r="I90" t="s">
        <v>714</v>
      </c>
      <c r="J90" s="28">
        <v>1</v>
      </c>
      <c r="K90" s="28">
        <v>31</v>
      </c>
      <c r="N90" t="s">
        <v>1161</v>
      </c>
      <c r="P90" s="29" t="e">
        <v>#NULL!</v>
      </c>
      <c r="Q90" s="29" t="e">
        <v>#NULL!</v>
      </c>
      <c r="R90" s="29" t="e">
        <v>#NULL!</v>
      </c>
      <c r="S90" s="29" t="e">
        <v>#NULL!</v>
      </c>
      <c r="T90" s="28">
        <v>8</v>
      </c>
      <c r="U90" s="28">
        <v>8</v>
      </c>
      <c r="V90" s="28">
        <v>8</v>
      </c>
      <c r="W90" s="28">
        <v>8</v>
      </c>
      <c r="Y90" s="29" t="e">
        <v>#NULL!</v>
      </c>
      <c r="Z90" s="29" t="e">
        <v>#NULL!</v>
      </c>
      <c r="AA90" s="29" t="e">
        <v>#NULL!</v>
      </c>
      <c r="AB90" s="29" t="e">
        <v>#NULL!</v>
      </c>
      <c r="AC90" t="s">
        <v>1162</v>
      </c>
      <c r="AD90" s="28">
        <v>20</v>
      </c>
      <c r="AE90" s="29" t="e">
        <v>#NULL!</v>
      </c>
      <c r="AF90" s="29" t="e">
        <v>#NULL!</v>
      </c>
      <c r="AG90" s="29" t="e">
        <v>#NULL!</v>
      </c>
      <c r="AI90" s="29" t="e">
        <v>#NULL!</v>
      </c>
      <c r="AJ90" s="29" t="e">
        <v>#NULL!</v>
      </c>
      <c r="AK90" s="29" t="e">
        <v>#NULL!</v>
      </c>
      <c r="AL90" s="29" t="e">
        <v>#NULL!</v>
      </c>
      <c r="AM90" t="s">
        <v>1163</v>
      </c>
      <c r="AN90" s="28">
        <v>99</v>
      </c>
      <c r="AO90" s="29" t="e">
        <v>#NULL!</v>
      </c>
      <c r="AP90" s="29" t="e">
        <v>#NULL!</v>
      </c>
      <c r="AQ90" s="29" t="e">
        <v>#NULL!</v>
      </c>
      <c r="AS90" s="29" t="e">
        <v>#NULL!</v>
      </c>
      <c r="AT90" s="29" t="e">
        <v>#NULL!</v>
      </c>
      <c r="AU90" s="29" t="e">
        <v>#NULL!</v>
      </c>
      <c r="AV90" s="29" t="e">
        <v>#NULL!</v>
      </c>
      <c r="AW90" t="s">
        <v>1164</v>
      </c>
      <c r="AX90" s="28">
        <v>22</v>
      </c>
      <c r="AY90" s="29" t="e">
        <v>#NULL!</v>
      </c>
      <c r="AZ90" s="29" t="e">
        <v>#NULL!</v>
      </c>
      <c r="BA90" s="29" t="e">
        <v>#NULL!</v>
      </c>
      <c r="BC90" s="29" t="e">
        <v>#NULL!</v>
      </c>
      <c r="BD90" s="29" t="e">
        <v>#NULL!</v>
      </c>
      <c r="BE90" s="29" t="e">
        <v>#NULL!</v>
      </c>
      <c r="BF90" s="29" t="e">
        <v>#NULL!</v>
      </c>
      <c r="BG90" t="s">
        <v>1165</v>
      </c>
      <c r="BH90" s="28">
        <v>21</v>
      </c>
      <c r="BI90" s="29" t="e">
        <v>#NULL!</v>
      </c>
      <c r="BJ90" s="29" t="e">
        <v>#NULL!</v>
      </c>
      <c r="BK90" s="29" t="e">
        <v>#NULL!</v>
      </c>
      <c r="BL90" s="28">
        <v>4</v>
      </c>
      <c r="BM90" s="29" t="e">
        <v>#NULL!</v>
      </c>
      <c r="BO90" s="29" t="e">
        <v>#NULL!</v>
      </c>
      <c r="BP90" s="29" t="e">
        <v>#NULL!</v>
      </c>
      <c r="BQ90" s="29" t="e">
        <v>#NULL!</v>
      </c>
      <c r="BR90" s="29" t="e">
        <v>#NULL!</v>
      </c>
      <c r="BS90" s="29" t="e">
        <v>#NULL!</v>
      </c>
      <c r="BU90" s="29" t="e">
        <v>#NULL!</v>
      </c>
      <c r="BV90" s="29" t="e">
        <v>#NULL!</v>
      </c>
      <c r="BW90" s="29" t="e">
        <v>#NULL!</v>
      </c>
      <c r="BX90" s="28">
        <v>8</v>
      </c>
      <c r="BZ90" s="29" t="e">
        <v>#NULL!</v>
      </c>
      <c r="CA90" s="29" t="e">
        <v>#NULL!</v>
      </c>
      <c r="CB90" s="29" t="e">
        <v>#NULL!</v>
      </c>
      <c r="CC90" s="28">
        <v>2</v>
      </c>
      <c r="CD90" s="29" t="e">
        <v>#NULL!</v>
      </c>
      <c r="CE90" s="28">
        <v>1</v>
      </c>
      <c r="CF90" s="28">
        <v>1</v>
      </c>
      <c r="CG90" s="28">
        <v>2</v>
      </c>
      <c r="CH90" t="s">
        <v>1166</v>
      </c>
      <c r="CI90" s="28">
        <v>99</v>
      </c>
      <c r="CJ90" s="29" t="e">
        <v>#NULL!</v>
      </c>
      <c r="CK90" s="29" t="e">
        <v>#NULL!</v>
      </c>
      <c r="CL90" s="28">
        <v>5</v>
      </c>
      <c r="CM90" t="s">
        <v>1167</v>
      </c>
      <c r="CN90" s="28">
        <v>99</v>
      </c>
      <c r="CO90" s="29" t="e">
        <v>#NULL!</v>
      </c>
      <c r="CP90" s="29" t="e">
        <v>#NULL!</v>
      </c>
      <c r="CQ90" s="28">
        <v>1</v>
      </c>
      <c r="CR90" s="28">
        <v>8</v>
      </c>
      <c r="CS90" s="28">
        <v>8</v>
      </c>
      <c r="CT90" s="28">
        <v>8</v>
      </c>
      <c r="CU90" s="28">
        <v>5</v>
      </c>
      <c r="CV90" s="28">
        <v>11</v>
      </c>
      <c r="CW90" s="28">
        <v>8</v>
      </c>
      <c r="CX90" s="28">
        <v>8</v>
      </c>
      <c r="CY90" s="28">
        <v>8</v>
      </c>
      <c r="DA90" s="29" t="e">
        <v>#NULL!</v>
      </c>
      <c r="DB90" s="29" t="e">
        <v>#NULL!</v>
      </c>
      <c r="DC90" s="28">
        <v>8</v>
      </c>
      <c r="DD90" s="29" t="e">
        <v>#NULL!</v>
      </c>
      <c r="DE90" s="29" t="e">
        <v>#NULL!</v>
      </c>
      <c r="DF90" s="29" t="e">
        <v>#NULL!</v>
      </c>
      <c r="DG90" s="29" t="e">
        <v>#NULL!</v>
      </c>
      <c r="DH90" s="29" t="e">
        <v>#NULL!</v>
      </c>
      <c r="DI90" s="29" t="e">
        <v>#NULL!</v>
      </c>
      <c r="DJ90" s="29" t="e">
        <v>#NULL!</v>
      </c>
      <c r="DK90" s="29" t="e">
        <v>#NULL!</v>
      </c>
      <c r="DL90" s="29" t="e">
        <v>#NULL!</v>
      </c>
      <c r="DN90" s="28">
        <v>2</v>
      </c>
      <c r="DO90" t="s">
        <v>1168</v>
      </c>
      <c r="DP90" s="28">
        <v>98</v>
      </c>
      <c r="DQ90" s="29" t="e">
        <v>#NULL!</v>
      </c>
      <c r="DR90" s="29" t="e">
        <v>#NULL!</v>
      </c>
      <c r="DT90" s="29" t="e">
        <v>#NULL!</v>
      </c>
      <c r="DU90" s="29" t="e">
        <v>#NULL!</v>
      </c>
      <c r="DV90" s="29" t="e">
        <v>#NULL!</v>
      </c>
      <c r="DW90" s="28">
        <v>2</v>
      </c>
      <c r="DX90" s="28">
        <v>2</v>
      </c>
      <c r="DZ90" s="29" t="e">
        <v>#NULL!</v>
      </c>
      <c r="EA90" s="29" t="e">
        <v>#NULL!</v>
      </c>
      <c r="EI90" s="29" t="e">
        <v>#NULL!</v>
      </c>
      <c r="EJ90" s="29" t="e">
        <v>#NULL!</v>
      </c>
      <c r="EK90" s="29" t="e">
        <v>#NULL!</v>
      </c>
      <c r="EL90" s="29" t="e">
        <v>#NULL!</v>
      </c>
      <c r="EM90" s="28">
        <v>10</v>
      </c>
      <c r="EN90" s="28">
        <v>1</v>
      </c>
      <c r="EP90" s="28">
        <v>5</v>
      </c>
      <c r="EQ90" s="28">
        <v>2</v>
      </c>
      <c r="ER90" s="28">
        <v>2</v>
      </c>
      <c r="ES90" s="28">
        <v>78758</v>
      </c>
      <c r="ET90" s="28">
        <v>1</v>
      </c>
      <c r="EU90" s="28">
        <v>5</v>
      </c>
      <c r="EV90" s="28">
        <v>8</v>
      </c>
      <c r="EW90" s="28">
        <v>5</v>
      </c>
      <c r="EX90" s="28">
        <v>1</v>
      </c>
      <c r="EY90" t="s">
        <v>1169</v>
      </c>
      <c r="EZ90" t="s">
        <v>1170</v>
      </c>
      <c r="FB90" t="s">
        <v>1171</v>
      </c>
      <c r="FC90" t="s">
        <v>1172</v>
      </c>
      <c r="FD90" s="29" t="e">
        <v>#NULL!</v>
      </c>
      <c r="FE90" s="29" t="e">
        <v>#NULL!</v>
      </c>
      <c r="FF90" s="28">
        <v>1</v>
      </c>
      <c r="FH90" t="s">
        <v>1173</v>
      </c>
      <c r="FI90" t="s">
        <v>1174</v>
      </c>
    </row>
    <row r="91" spans="1:165" x14ac:dyDescent="0.15">
      <c r="A91" s="28">
        <v>542</v>
      </c>
      <c r="B91" s="28">
        <v>1</v>
      </c>
      <c r="C91" s="28">
        <v>2</v>
      </c>
      <c r="D91" s="28">
        <v>1</v>
      </c>
      <c r="E91" s="29" t="e">
        <v>#NULL!</v>
      </c>
      <c r="F91" s="28">
        <v>2</v>
      </c>
      <c r="G91" s="28">
        <v>2</v>
      </c>
      <c r="H91" s="28">
        <v>1</v>
      </c>
      <c r="J91" s="28">
        <v>2</v>
      </c>
      <c r="K91" s="28">
        <v>20</v>
      </c>
      <c r="N91" t="s">
        <v>1175</v>
      </c>
      <c r="O91" t="s">
        <v>1176</v>
      </c>
      <c r="P91" s="28">
        <v>12</v>
      </c>
      <c r="Q91" s="29" t="e">
        <v>#NULL!</v>
      </c>
      <c r="R91" s="29" t="e">
        <v>#NULL!</v>
      </c>
      <c r="S91" s="29" t="e">
        <v>#NULL!</v>
      </c>
      <c r="T91" s="28">
        <v>1</v>
      </c>
      <c r="U91" s="28">
        <v>1</v>
      </c>
      <c r="V91" s="28">
        <v>1</v>
      </c>
      <c r="W91" s="28">
        <v>1</v>
      </c>
      <c r="X91" t="s">
        <v>1177</v>
      </c>
      <c r="Y91" s="28">
        <v>2</v>
      </c>
      <c r="Z91" s="29" t="e">
        <v>#NULL!</v>
      </c>
      <c r="AA91" s="29" t="e">
        <v>#NULL!</v>
      </c>
      <c r="AB91" s="29" t="e">
        <v>#NULL!</v>
      </c>
      <c r="AD91" s="29" t="e">
        <v>#NULL!</v>
      </c>
      <c r="AE91" s="29" t="e">
        <v>#NULL!</v>
      </c>
      <c r="AF91" s="29" t="e">
        <v>#NULL!</v>
      </c>
      <c r="AG91" s="29" t="e">
        <v>#NULL!</v>
      </c>
      <c r="AH91" t="s">
        <v>1178</v>
      </c>
      <c r="AI91" s="28">
        <v>8</v>
      </c>
      <c r="AJ91" s="29" t="e">
        <v>#NULL!</v>
      </c>
      <c r="AK91" s="29" t="e">
        <v>#NULL!</v>
      </c>
      <c r="AL91" s="29" t="e">
        <v>#NULL!</v>
      </c>
      <c r="AN91" s="29" t="e">
        <v>#NULL!</v>
      </c>
      <c r="AO91" s="29" t="e">
        <v>#NULL!</v>
      </c>
      <c r="AP91" s="29" t="e">
        <v>#NULL!</v>
      </c>
      <c r="AQ91" s="29" t="e">
        <v>#NULL!</v>
      </c>
      <c r="AR91" t="s">
        <v>1179</v>
      </c>
      <c r="AS91" s="28">
        <v>2</v>
      </c>
      <c r="AT91" s="29" t="e">
        <v>#NULL!</v>
      </c>
      <c r="AU91" s="29" t="e">
        <v>#NULL!</v>
      </c>
      <c r="AV91" s="29" t="e">
        <v>#NULL!</v>
      </c>
      <c r="AX91" s="29" t="e">
        <v>#NULL!</v>
      </c>
      <c r="AY91" s="29" t="e">
        <v>#NULL!</v>
      </c>
      <c r="AZ91" s="29" t="e">
        <v>#NULL!</v>
      </c>
      <c r="BA91" s="29" t="e">
        <v>#NULL!</v>
      </c>
      <c r="BB91" t="s">
        <v>1180</v>
      </c>
      <c r="BC91" s="28">
        <v>7</v>
      </c>
      <c r="BD91" s="29" t="e">
        <v>#NULL!</v>
      </c>
      <c r="BE91" s="29" t="e">
        <v>#NULL!</v>
      </c>
      <c r="BF91" s="29" t="e">
        <v>#NULL!</v>
      </c>
      <c r="BH91" s="29" t="e">
        <v>#NULL!</v>
      </c>
      <c r="BI91" s="29" t="e">
        <v>#NULL!</v>
      </c>
      <c r="BJ91" s="29" t="e">
        <v>#NULL!</v>
      </c>
      <c r="BK91" s="29" t="e">
        <v>#NULL!</v>
      </c>
      <c r="BL91" s="28">
        <v>2</v>
      </c>
      <c r="BM91" s="28">
        <v>10</v>
      </c>
      <c r="BN91" t="s">
        <v>741</v>
      </c>
      <c r="BO91" s="28">
        <v>98</v>
      </c>
      <c r="BP91" s="29" t="e">
        <v>#NULL!</v>
      </c>
      <c r="BQ91" s="29" t="e">
        <v>#NULL!</v>
      </c>
      <c r="BR91" s="29" t="e">
        <v>#NULL!</v>
      </c>
      <c r="BS91" s="28">
        <v>11</v>
      </c>
      <c r="BT91" t="s">
        <v>1181</v>
      </c>
      <c r="BU91" s="28">
        <v>13</v>
      </c>
      <c r="BV91" s="29" t="e">
        <v>#NULL!</v>
      </c>
      <c r="BW91" s="29" t="e">
        <v>#NULL!</v>
      </c>
      <c r="BX91" s="29" t="e">
        <v>#NULL!</v>
      </c>
      <c r="BZ91" s="29" t="e">
        <v>#NULL!</v>
      </c>
      <c r="CA91" s="29" t="e">
        <v>#NULL!</v>
      </c>
      <c r="CB91" s="29" t="e">
        <v>#NULL!</v>
      </c>
      <c r="CC91" s="28">
        <v>3</v>
      </c>
      <c r="CD91" s="29" t="e">
        <v>#NULL!</v>
      </c>
      <c r="CE91" s="28">
        <v>1</v>
      </c>
      <c r="CF91" s="28">
        <v>2</v>
      </c>
      <c r="CG91" s="29" t="e">
        <v>#NULL!</v>
      </c>
      <c r="CI91" s="29" t="e">
        <v>#NULL!</v>
      </c>
      <c r="CJ91" s="29" t="e">
        <v>#NULL!</v>
      </c>
      <c r="CK91" s="29" t="e">
        <v>#NULL!</v>
      </c>
      <c r="CL91" s="29" t="e">
        <v>#NULL!</v>
      </c>
      <c r="CN91" s="29" t="e">
        <v>#NULL!</v>
      </c>
      <c r="CO91" s="29" t="e">
        <v>#NULL!</v>
      </c>
      <c r="CP91" s="29" t="e">
        <v>#NULL!</v>
      </c>
      <c r="CQ91" s="28">
        <v>2</v>
      </c>
      <c r="CR91" s="29" t="e">
        <v>#NULL!</v>
      </c>
      <c r="CS91" s="28">
        <v>11</v>
      </c>
      <c r="CT91" s="28">
        <v>11</v>
      </c>
      <c r="CU91" s="28">
        <v>11</v>
      </c>
      <c r="CV91" s="28">
        <v>1</v>
      </c>
      <c r="CW91" s="28">
        <v>1</v>
      </c>
      <c r="CX91" s="28">
        <v>11</v>
      </c>
      <c r="CY91" s="28">
        <v>11</v>
      </c>
      <c r="CZ91" t="s">
        <v>1182</v>
      </c>
      <c r="DA91" s="28">
        <v>3</v>
      </c>
      <c r="DB91" s="29" t="e">
        <v>#NULL!</v>
      </c>
      <c r="DC91" s="28">
        <v>1</v>
      </c>
      <c r="DD91" s="28">
        <v>0</v>
      </c>
      <c r="DE91" s="28">
        <v>1</v>
      </c>
      <c r="DF91" s="28">
        <v>0</v>
      </c>
      <c r="DG91" s="28">
        <v>0</v>
      </c>
      <c r="DH91" s="28">
        <v>0</v>
      </c>
      <c r="DI91" s="28">
        <v>0</v>
      </c>
      <c r="DJ91" s="28">
        <v>0</v>
      </c>
      <c r="DK91" s="28">
        <v>0</v>
      </c>
      <c r="DL91" s="28">
        <v>0</v>
      </c>
      <c r="DN91" s="28">
        <v>2</v>
      </c>
      <c r="DO91" t="s">
        <v>1183</v>
      </c>
      <c r="DP91" s="28">
        <v>5</v>
      </c>
      <c r="DQ91" s="29" t="e">
        <v>#NULL!</v>
      </c>
      <c r="DR91" s="29" t="e">
        <v>#NULL!</v>
      </c>
      <c r="DT91" s="29" t="e">
        <v>#NULL!</v>
      </c>
      <c r="DU91" s="29" t="e">
        <v>#NULL!</v>
      </c>
      <c r="DV91" s="29" t="e">
        <v>#NULL!</v>
      </c>
      <c r="DW91" s="28">
        <v>5</v>
      </c>
      <c r="DX91" s="28">
        <v>2</v>
      </c>
      <c r="DZ91" s="29" t="e">
        <v>#NULL!</v>
      </c>
      <c r="EA91" s="29" t="e">
        <v>#NULL!</v>
      </c>
      <c r="EI91" s="29" t="e">
        <v>#NULL!</v>
      </c>
      <c r="EJ91" s="29" t="e">
        <v>#NULL!</v>
      </c>
      <c r="EK91" s="29" t="e">
        <v>#NULL!</v>
      </c>
      <c r="EL91" s="29" t="e">
        <v>#NULL!</v>
      </c>
      <c r="EM91" s="28">
        <v>3</v>
      </c>
      <c r="EN91" s="28">
        <v>3</v>
      </c>
      <c r="EP91" s="28">
        <v>4</v>
      </c>
      <c r="EQ91" s="28">
        <v>1</v>
      </c>
      <c r="ER91" s="28">
        <v>2</v>
      </c>
      <c r="ES91" s="28">
        <v>78753</v>
      </c>
      <c r="ET91" s="28">
        <v>4</v>
      </c>
      <c r="EU91" s="28">
        <v>4</v>
      </c>
      <c r="EV91" s="28">
        <v>6</v>
      </c>
      <c r="EW91" s="28">
        <v>5</v>
      </c>
      <c r="EX91" s="28">
        <v>3</v>
      </c>
      <c r="EY91" t="s">
        <v>1184</v>
      </c>
      <c r="EZ91" t="s">
        <v>1185</v>
      </c>
      <c r="FB91" t="s">
        <v>1186</v>
      </c>
      <c r="FC91" t="s">
        <v>1187</v>
      </c>
      <c r="FD91" s="29" t="e">
        <v>#NULL!</v>
      </c>
      <c r="FE91" s="29" t="e">
        <v>#NULL!</v>
      </c>
      <c r="FF91" s="28">
        <v>3</v>
      </c>
      <c r="FH91" t="s">
        <v>1188</v>
      </c>
      <c r="FI91" t="s">
        <v>1189</v>
      </c>
    </row>
    <row r="92" spans="1:165" x14ac:dyDescent="0.15">
      <c r="A92" s="28">
        <v>560</v>
      </c>
      <c r="B92" s="28">
        <v>1</v>
      </c>
      <c r="C92" s="28">
        <v>2</v>
      </c>
      <c r="D92" s="28">
        <v>1</v>
      </c>
      <c r="E92" s="29" t="e">
        <v>#NULL!</v>
      </c>
      <c r="F92" s="28">
        <v>2</v>
      </c>
      <c r="G92" s="28">
        <v>2</v>
      </c>
      <c r="H92" s="28">
        <v>4</v>
      </c>
      <c r="I92" t="s">
        <v>1190</v>
      </c>
      <c r="J92" s="28">
        <v>2</v>
      </c>
      <c r="K92" s="28">
        <v>1</v>
      </c>
      <c r="O92" t="s">
        <v>1191</v>
      </c>
      <c r="P92" s="28">
        <v>13</v>
      </c>
      <c r="Q92" s="29" t="e">
        <v>#NULL!</v>
      </c>
      <c r="R92" s="29" t="e">
        <v>#NULL!</v>
      </c>
      <c r="S92" s="28">
        <v>10</v>
      </c>
      <c r="T92" s="28">
        <v>10</v>
      </c>
      <c r="U92" s="28">
        <v>10</v>
      </c>
      <c r="V92" s="28">
        <v>10</v>
      </c>
      <c r="W92" s="28">
        <v>10</v>
      </c>
      <c r="Y92" s="29" t="e">
        <v>#NULL!</v>
      </c>
      <c r="Z92" s="29" t="e">
        <v>#NULL!</v>
      </c>
      <c r="AA92" s="29" t="e">
        <v>#NULL!</v>
      </c>
      <c r="AB92" s="29" t="e">
        <v>#NULL!</v>
      </c>
      <c r="AC92" t="s">
        <v>248</v>
      </c>
      <c r="AD92" s="29" t="e">
        <v>#NULL!</v>
      </c>
      <c r="AE92" s="29" t="e">
        <v>#NULL!</v>
      </c>
      <c r="AF92" s="29" t="e">
        <v>#NULL!</v>
      </c>
      <c r="AG92" s="29" t="e">
        <v>#NULL!</v>
      </c>
      <c r="AI92" s="29" t="e">
        <v>#NULL!</v>
      </c>
      <c r="AJ92" s="29" t="e">
        <v>#NULL!</v>
      </c>
      <c r="AK92" s="29" t="e">
        <v>#NULL!</v>
      </c>
      <c r="AL92" s="29" t="e">
        <v>#NULL!</v>
      </c>
      <c r="AM92" t="s">
        <v>248</v>
      </c>
      <c r="AN92" s="29" t="e">
        <v>#NULL!</v>
      </c>
      <c r="AO92" s="29" t="e">
        <v>#NULL!</v>
      </c>
      <c r="AP92" s="29" t="e">
        <v>#NULL!</v>
      </c>
      <c r="AQ92" s="29" t="e">
        <v>#NULL!</v>
      </c>
      <c r="AS92" s="29" t="e">
        <v>#NULL!</v>
      </c>
      <c r="AT92" s="29" t="e">
        <v>#NULL!</v>
      </c>
      <c r="AU92" s="29" t="e">
        <v>#NULL!</v>
      </c>
      <c r="AV92" s="29" t="e">
        <v>#NULL!</v>
      </c>
      <c r="AW92" t="s">
        <v>248</v>
      </c>
      <c r="AX92" s="29" t="e">
        <v>#NULL!</v>
      </c>
      <c r="AY92" s="29" t="e">
        <v>#NULL!</v>
      </c>
      <c r="AZ92" s="29" t="e">
        <v>#NULL!</v>
      </c>
      <c r="BA92" s="29" t="e">
        <v>#NULL!</v>
      </c>
      <c r="BC92" s="29" t="e">
        <v>#NULL!</v>
      </c>
      <c r="BD92" s="29" t="e">
        <v>#NULL!</v>
      </c>
      <c r="BE92" s="29" t="e">
        <v>#NULL!</v>
      </c>
      <c r="BF92" s="29" t="e">
        <v>#NULL!</v>
      </c>
      <c r="BG92" t="s">
        <v>248</v>
      </c>
      <c r="BH92" s="29" t="e">
        <v>#NULL!</v>
      </c>
      <c r="BI92" s="29" t="e">
        <v>#NULL!</v>
      </c>
      <c r="BJ92" s="29" t="e">
        <v>#NULL!</v>
      </c>
      <c r="BK92" s="29" t="e">
        <v>#NULL!</v>
      </c>
      <c r="BL92" s="28">
        <v>1</v>
      </c>
      <c r="BM92" s="29" t="e">
        <v>#NULL!</v>
      </c>
      <c r="BO92" s="29" t="e">
        <v>#NULL!</v>
      </c>
      <c r="BP92" s="29" t="e">
        <v>#NULL!</v>
      </c>
      <c r="BQ92" s="29" t="e">
        <v>#NULL!</v>
      </c>
      <c r="BR92" s="29" t="e">
        <v>#NULL!</v>
      </c>
      <c r="BS92" s="29" t="e">
        <v>#NULL!</v>
      </c>
      <c r="BU92" s="29" t="e">
        <v>#NULL!</v>
      </c>
      <c r="BV92" s="29" t="e">
        <v>#NULL!</v>
      </c>
      <c r="BW92" s="29" t="e">
        <v>#NULL!</v>
      </c>
      <c r="BX92" s="29" t="e">
        <v>#NULL!</v>
      </c>
      <c r="BZ92" s="29" t="e">
        <v>#NULL!</v>
      </c>
      <c r="CA92" s="29" t="e">
        <v>#NULL!</v>
      </c>
      <c r="CB92" s="29" t="e">
        <v>#NULL!</v>
      </c>
      <c r="CC92" s="28">
        <v>2</v>
      </c>
      <c r="CD92" s="29" t="e">
        <v>#NULL!</v>
      </c>
      <c r="CE92" s="28">
        <v>2</v>
      </c>
      <c r="CF92" s="29" t="e">
        <v>#NULL!</v>
      </c>
      <c r="CG92" s="29" t="e">
        <v>#NULL!</v>
      </c>
      <c r="CI92" s="29" t="e">
        <v>#NULL!</v>
      </c>
      <c r="CJ92" s="29" t="e">
        <v>#NULL!</v>
      </c>
      <c r="CK92" s="29" t="e">
        <v>#NULL!</v>
      </c>
      <c r="CL92" s="29" t="e">
        <v>#NULL!</v>
      </c>
      <c r="CN92" s="29" t="e">
        <v>#NULL!</v>
      </c>
      <c r="CO92" s="29" t="e">
        <v>#NULL!</v>
      </c>
      <c r="CP92" s="29" t="e">
        <v>#NULL!</v>
      </c>
      <c r="CQ92" s="28">
        <v>2</v>
      </c>
      <c r="CR92" s="29" t="e">
        <v>#NULL!</v>
      </c>
      <c r="CS92" s="28">
        <v>10</v>
      </c>
      <c r="CT92" s="28">
        <v>10</v>
      </c>
      <c r="CU92" s="28">
        <v>10</v>
      </c>
      <c r="CV92" s="28">
        <v>10</v>
      </c>
      <c r="CW92" s="28">
        <v>10</v>
      </c>
      <c r="CX92" s="28">
        <v>10</v>
      </c>
      <c r="CY92" s="28">
        <v>10</v>
      </c>
      <c r="DA92" s="29" t="e">
        <v>#NULL!</v>
      </c>
      <c r="DB92" s="29" t="e">
        <v>#NULL!</v>
      </c>
      <c r="DC92" s="28">
        <v>10</v>
      </c>
      <c r="DD92" s="29" t="e">
        <v>#NULL!</v>
      </c>
      <c r="DE92" s="29" t="e">
        <v>#NULL!</v>
      </c>
      <c r="DF92" s="29" t="e">
        <v>#NULL!</v>
      </c>
      <c r="DG92" s="29" t="e">
        <v>#NULL!</v>
      </c>
      <c r="DH92" s="29" t="e">
        <v>#NULL!</v>
      </c>
      <c r="DI92" s="29" t="e">
        <v>#NULL!</v>
      </c>
      <c r="DJ92" s="29" t="e">
        <v>#NULL!</v>
      </c>
      <c r="DK92" s="29" t="e">
        <v>#NULL!</v>
      </c>
      <c r="DL92" s="29" t="e">
        <v>#NULL!</v>
      </c>
      <c r="DN92" s="28">
        <v>1</v>
      </c>
      <c r="DP92" s="29" t="e">
        <v>#NULL!</v>
      </c>
      <c r="DQ92" s="29" t="e">
        <v>#NULL!</v>
      </c>
      <c r="DR92" s="29" t="e">
        <v>#NULL!</v>
      </c>
      <c r="DT92" s="29" t="e">
        <v>#NULL!</v>
      </c>
      <c r="DU92" s="29" t="e">
        <v>#NULL!</v>
      </c>
      <c r="DV92" s="29" t="e">
        <v>#NULL!</v>
      </c>
      <c r="DW92" s="28">
        <v>3</v>
      </c>
      <c r="DX92" s="28">
        <v>2</v>
      </c>
      <c r="DZ92" s="29" t="e">
        <v>#NULL!</v>
      </c>
      <c r="EA92" s="29" t="e">
        <v>#NULL!</v>
      </c>
      <c r="EI92" s="29" t="e">
        <v>#NULL!</v>
      </c>
      <c r="EJ92" s="29" t="e">
        <v>#NULL!</v>
      </c>
      <c r="EK92" s="29" t="e">
        <v>#NULL!</v>
      </c>
      <c r="EL92" s="29" t="e">
        <v>#NULL!</v>
      </c>
      <c r="EM92" s="28">
        <v>10</v>
      </c>
      <c r="EN92" s="28">
        <v>2</v>
      </c>
      <c r="EP92" s="28">
        <v>5</v>
      </c>
      <c r="EQ92" s="28">
        <v>1</v>
      </c>
      <c r="ER92" s="28">
        <v>2</v>
      </c>
      <c r="ES92" s="28">
        <v>78753</v>
      </c>
      <c r="ET92" s="28">
        <v>2</v>
      </c>
      <c r="EU92" s="28">
        <v>3</v>
      </c>
      <c r="EV92" s="28">
        <v>2</v>
      </c>
      <c r="EW92" s="28">
        <v>5</v>
      </c>
      <c r="EX92" s="28">
        <v>2</v>
      </c>
      <c r="EY92" t="s">
        <v>1192</v>
      </c>
      <c r="EZ92" t="s">
        <v>1193</v>
      </c>
      <c r="FB92" t="s">
        <v>1194</v>
      </c>
      <c r="FC92" t="s">
        <v>1195</v>
      </c>
      <c r="FD92" s="29" t="e">
        <v>#NULL!</v>
      </c>
      <c r="FE92" s="29" t="e">
        <v>#NULL!</v>
      </c>
      <c r="FF92" s="28">
        <v>2</v>
      </c>
      <c r="FH92" t="s">
        <v>1196</v>
      </c>
      <c r="FI92" t="s">
        <v>1197</v>
      </c>
    </row>
    <row r="93" spans="1:165" x14ac:dyDescent="0.15">
      <c r="A93" s="28">
        <v>573</v>
      </c>
      <c r="B93" s="28">
        <v>1</v>
      </c>
      <c r="C93" s="28">
        <v>2</v>
      </c>
      <c r="D93" s="28">
        <v>1</v>
      </c>
      <c r="E93" s="29" t="e">
        <v>#NULL!</v>
      </c>
      <c r="F93" s="28">
        <v>2</v>
      </c>
      <c r="G93" s="28">
        <v>2</v>
      </c>
      <c r="H93" s="28">
        <v>1</v>
      </c>
      <c r="J93" s="28">
        <v>2</v>
      </c>
      <c r="K93" s="28">
        <v>16</v>
      </c>
      <c r="O93" t="s">
        <v>1198</v>
      </c>
      <c r="P93" s="28">
        <v>12</v>
      </c>
      <c r="Q93" s="29" t="e">
        <v>#NULL!</v>
      </c>
      <c r="R93" s="29" t="e">
        <v>#NULL!</v>
      </c>
      <c r="S93" s="29" t="e">
        <v>#NULL!</v>
      </c>
      <c r="T93" s="28">
        <v>5</v>
      </c>
      <c r="U93" s="28">
        <v>4</v>
      </c>
      <c r="V93" s="28">
        <v>5</v>
      </c>
      <c r="W93" s="28">
        <v>5</v>
      </c>
      <c r="Y93" s="29" t="e">
        <v>#NULL!</v>
      </c>
      <c r="Z93" s="29" t="e">
        <v>#NULL!</v>
      </c>
      <c r="AA93" s="29" t="e">
        <v>#NULL!</v>
      </c>
      <c r="AB93" s="29" t="e">
        <v>#NULL!</v>
      </c>
      <c r="AD93" s="29" t="e">
        <v>#NULL!</v>
      </c>
      <c r="AE93" s="29" t="e">
        <v>#NULL!</v>
      </c>
      <c r="AF93" s="29" t="e">
        <v>#NULL!</v>
      </c>
      <c r="AG93" s="29" t="e">
        <v>#NULL!</v>
      </c>
      <c r="AI93" s="29" t="e">
        <v>#NULL!</v>
      </c>
      <c r="AJ93" s="29" t="e">
        <v>#NULL!</v>
      </c>
      <c r="AK93" s="29" t="e">
        <v>#NULL!</v>
      </c>
      <c r="AL93" s="29" t="e">
        <v>#NULL!</v>
      </c>
      <c r="AN93" s="29" t="e">
        <v>#NULL!</v>
      </c>
      <c r="AO93" s="29" t="e">
        <v>#NULL!</v>
      </c>
      <c r="AP93" s="29" t="e">
        <v>#NULL!</v>
      </c>
      <c r="AQ93" s="29" t="e">
        <v>#NULL!</v>
      </c>
      <c r="AS93" s="29" t="e">
        <v>#NULL!</v>
      </c>
      <c r="AT93" s="29" t="e">
        <v>#NULL!</v>
      </c>
      <c r="AU93" s="29" t="e">
        <v>#NULL!</v>
      </c>
      <c r="AV93" s="29" t="e">
        <v>#NULL!</v>
      </c>
      <c r="AX93" s="29" t="e">
        <v>#NULL!</v>
      </c>
      <c r="AY93" s="29" t="e">
        <v>#NULL!</v>
      </c>
      <c r="AZ93" s="29" t="e">
        <v>#NULL!</v>
      </c>
      <c r="BA93" s="29" t="e">
        <v>#NULL!</v>
      </c>
      <c r="BC93" s="29" t="e">
        <v>#NULL!</v>
      </c>
      <c r="BD93" s="29" t="e">
        <v>#NULL!</v>
      </c>
      <c r="BE93" s="29" t="e">
        <v>#NULL!</v>
      </c>
      <c r="BF93" s="29" t="e">
        <v>#NULL!</v>
      </c>
      <c r="BH93" s="29" t="e">
        <v>#NULL!</v>
      </c>
      <c r="BI93" s="29" t="e">
        <v>#NULL!</v>
      </c>
      <c r="BJ93" s="29" t="e">
        <v>#NULL!</v>
      </c>
      <c r="BK93" s="29" t="e">
        <v>#NULL!</v>
      </c>
      <c r="BL93" s="28">
        <v>2</v>
      </c>
      <c r="BM93" s="28">
        <v>6</v>
      </c>
      <c r="BN93" t="s">
        <v>1199</v>
      </c>
      <c r="BO93" s="28">
        <v>6</v>
      </c>
      <c r="BP93" s="29" t="e">
        <v>#NULL!</v>
      </c>
      <c r="BQ93" s="29" t="e">
        <v>#NULL!</v>
      </c>
      <c r="BR93" s="29" t="e">
        <v>#NULL!</v>
      </c>
      <c r="BS93" s="28">
        <v>10</v>
      </c>
      <c r="BT93" t="s">
        <v>1200</v>
      </c>
      <c r="BU93" s="28">
        <v>12</v>
      </c>
      <c r="BV93" s="29" t="e">
        <v>#NULL!</v>
      </c>
      <c r="BW93" s="29" t="e">
        <v>#NULL!</v>
      </c>
      <c r="BX93" s="29" t="e">
        <v>#NULL!</v>
      </c>
      <c r="BZ93" s="29" t="e">
        <v>#NULL!</v>
      </c>
      <c r="CA93" s="29" t="e">
        <v>#NULL!</v>
      </c>
      <c r="CB93" s="29" t="e">
        <v>#NULL!</v>
      </c>
      <c r="CC93" s="28">
        <v>3</v>
      </c>
      <c r="CD93" s="29" t="e">
        <v>#NULL!</v>
      </c>
      <c r="CE93" s="28">
        <v>1</v>
      </c>
      <c r="CF93" s="28">
        <v>2</v>
      </c>
      <c r="CG93" s="29" t="e">
        <v>#NULL!</v>
      </c>
      <c r="CI93" s="29" t="e">
        <v>#NULL!</v>
      </c>
      <c r="CJ93" s="29" t="e">
        <v>#NULL!</v>
      </c>
      <c r="CK93" s="29" t="e">
        <v>#NULL!</v>
      </c>
      <c r="CL93" s="29" t="e">
        <v>#NULL!</v>
      </c>
      <c r="CN93" s="29" t="e">
        <v>#NULL!</v>
      </c>
      <c r="CO93" s="29" t="e">
        <v>#NULL!</v>
      </c>
      <c r="CP93" s="29" t="e">
        <v>#NULL!</v>
      </c>
      <c r="CQ93" s="28">
        <v>3</v>
      </c>
      <c r="CR93" s="29" t="e">
        <v>#NULL!</v>
      </c>
      <c r="CS93" s="28">
        <v>5</v>
      </c>
      <c r="CT93" s="28">
        <v>1</v>
      </c>
      <c r="CU93" s="28">
        <v>1</v>
      </c>
      <c r="CV93" s="28">
        <v>1</v>
      </c>
      <c r="CW93" s="28">
        <v>2</v>
      </c>
      <c r="CX93" s="28">
        <v>8</v>
      </c>
      <c r="CY93" s="28">
        <v>1</v>
      </c>
      <c r="CZ93" t="s">
        <v>1201</v>
      </c>
      <c r="DA93" s="28">
        <v>4</v>
      </c>
      <c r="DB93" s="29" t="e">
        <v>#NULL!</v>
      </c>
      <c r="DC93" s="28">
        <v>3</v>
      </c>
      <c r="DD93" s="28">
        <v>0</v>
      </c>
      <c r="DE93" s="28">
        <v>0</v>
      </c>
      <c r="DF93" s="28">
        <v>0</v>
      </c>
      <c r="DG93" s="28">
        <v>0</v>
      </c>
      <c r="DH93" s="28">
        <v>0</v>
      </c>
      <c r="DI93" s="28">
        <v>1</v>
      </c>
      <c r="DJ93" s="28">
        <v>0</v>
      </c>
      <c r="DK93" s="28">
        <v>0</v>
      </c>
      <c r="DL93" s="28">
        <v>0</v>
      </c>
      <c r="DN93" s="28">
        <v>2</v>
      </c>
      <c r="DO93" t="s">
        <v>1202</v>
      </c>
      <c r="DP93" s="28">
        <v>6</v>
      </c>
      <c r="DQ93" s="29" t="e">
        <v>#NULL!</v>
      </c>
      <c r="DR93" s="29" t="e">
        <v>#NULL!</v>
      </c>
      <c r="DT93" s="29" t="e">
        <v>#NULL!</v>
      </c>
      <c r="DU93" s="29" t="e">
        <v>#NULL!</v>
      </c>
      <c r="DV93" s="29" t="e">
        <v>#NULL!</v>
      </c>
      <c r="DW93" s="28">
        <v>5</v>
      </c>
      <c r="DX93" s="28">
        <v>1</v>
      </c>
      <c r="DY93" t="s">
        <v>1203</v>
      </c>
      <c r="DZ93" s="28">
        <v>17</v>
      </c>
      <c r="EA93" s="29" t="e">
        <v>#NULL!</v>
      </c>
      <c r="EI93" s="29" t="e">
        <v>#NULL!</v>
      </c>
      <c r="EJ93" s="29" t="e">
        <v>#NULL!</v>
      </c>
      <c r="EK93" s="29" t="e">
        <v>#NULL!</v>
      </c>
      <c r="EL93" s="29" t="e">
        <v>#NULL!</v>
      </c>
      <c r="EM93" s="28">
        <v>10</v>
      </c>
      <c r="EN93" s="28">
        <v>3</v>
      </c>
      <c r="EP93" s="28">
        <v>5</v>
      </c>
      <c r="EQ93" s="28">
        <v>5</v>
      </c>
      <c r="ER93" s="28">
        <v>2</v>
      </c>
      <c r="ES93" s="28">
        <v>78741</v>
      </c>
      <c r="ET93" s="28">
        <v>7</v>
      </c>
      <c r="EU93" s="28">
        <v>5</v>
      </c>
      <c r="EV93" s="28">
        <v>4</v>
      </c>
      <c r="EW93" s="28">
        <v>5</v>
      </c>
      <c r="EX93" s="28">
        <v>4</v>
      </c>
      <c r="EY93" t="s">
        <v>1204</v>
      </c>
      <c r="EZ93" t="s">
        <v>1204</v>
      </c>
      <c r="FB93" t="s">
        <v>1205</v>
      </c>
      <c r="FC93" t="s">
        <v>1205</v>
      </c>
      <c r="FD93" s="29" t="e">
        <v>#NULL!</v>
      </c>
      <c r="FE93" s="29" t="e">
        <v>#NULL!</v>
      </c>
      <c r="FF93" s="28">
        <v>3</v>
      </c>
      <c r="FH93" t="s">
        <v>1206</v>
      </c>
      <c r="FI93" t="s">
        <v>1207</v>
      </c>
    </row>
    <row r="94" spans="1:165" x14ac:dyDescent="0.15">
      <c r="A94" s="28">
        <v>578</v>
      </c>
      <c r="B94" s="28">
        <v>1</v>
      </c>
      <c r="C94" s="28">
        <v>2</v>
      </c>
      <c r="D94" s="28">
        <v>1</v>
      </c>
      <c r="E94" s="29" t="e">
        <v>#NULL!</v>
      </c>
      <c r="F94" s="28">
        <v>2</v>
      </c>
      <c r="G94" s="28">
        <v>2</v>
      </c>
      <c r="H94" s="28">
        <v>2</v>
      </c>
      <c r="J94" s="28">
        <v>1</v>
      </c>
      <c r="K94" s="28">
        <v>6</v>
      </c>
      <c r="P94" s="29" t="e">
        <v>#NULL!</v>
      </c>
      <c r="Q94" s="29" t="e">
        <v>#NULL!</v>
      </c>
      <c r="R94" s="29" t="e">
        <v>#NULL!</v>
      </c>
      <c r="S94" s="29" t="e">
        <v>#NULL!</v>
      </c>
      <c r="T94" s="28">
        <v>5</v>
      </c>
      <c r="U94" s="28">
        <v>10</v>
      </c>
      <c r="V94" s="28">
        <v>10</v>
      </c>
      <c r="W94" s="28">
        <v>10</v>
      </c>
      <c r="Y94" s="29" t="e">
        <v>#NULL!</v>
      </c>
      <c r="Z94" s="29" t="e">
        <v>#NULL!</v>
      </c>
      <c r="AA94" s="29" t="e">
        <v>#NULL!</v>
      </c>
      <c r="AB94" s="29" t="e">
        <v>#NULL!</v>
      </c>
      <c r="AD94" s="29" t="e">
        <v>#NULL!</v>
      </c>
      <c r="AE94" s="29" t="e">
        <v>#NULL!</v>
      </c>
      <c r="AF94" s="29" t="e">
        <v>#NULL!</v>
      </c>
      <c r="AG94" s="29" t="e">
        <v>#NULL!</v>
      </c>
      <c r="AI94" s="29" t="e">
        <v>#NULL!</v>
      </c>
      <c r="AJ94" s="29" t="e">
        <v>#NULL!</v>
      </c>
      <c r="AK94" s="29" t="e">
        <v>#NULL!</v>
      </c>
      <c r="AL94" s="29" t="e">
        <v>#NULL!</v>
      </c>
      <c r="AM94" t="s">
        <v>1208</v>
      </c>
      <c r="AN94" s="28">
        <v>21</v>
      </c>
      <c r="AO94" s="29" t="e">
        <v>#NULL!</v>
      </c>
      <c r="AP94" s="29" t="e">
        <v>#NULL!</v>
      </c>
      <c r="AQ94" s="29" t="e">
        <v>#NULL!</v>
      </c>
      <c r="AS94" s="29" t="e">
        <v>#NULL!</v>
      </c>
      <c r="AT94" s="29" t="e">
        <v>#NULL!</v>
      </c>
      <c r="AU94" s="29" t="e">
        <v>#NULL!</v>
      </c>
      <c r="AV94" s="29" t="e">
        <v>#NULL!</v>
      </c>
      <c r="AW94" t="s">
        <v>1209</v>
      </c>
      <c r="AX94" s="28">
        <v>3</v>
      </c>
      <c r="AY94" s="29" t="e">
        <v>#NULL!</v>
      </c>
      <c r="AZ94" s="29" t="e">
        <v>#NULL!</v>
      </c>
      <c r="BA94" s="29" t="e">
        <v>#NULL!</v>
      </c>
      <c r="BC94" s="29" t="e">
        <v>#NULL!</v>
      </c>
      <c r="BD94" s="29" t="e">
        <v>#NULL!</v>
      </c>
      <c r="BE94" s="29" t="e">
        <v>#NULL!</v>
      </c>
      <c r="BF94" s="29" t="e">
        <v>#NULL!</v>
      </c>
      <c r="BG94" t="s">
        <v>1210</v>
      </c>
      <c r="BH94" s="28">
        <v>21</v>
      </c>
      <c r="BI94" s="29" t="e">
        <v>#NULL!</v>
      </c>
      <c r="BJ94" s="29" t="e">
        <v>#NULL!</v>
      </c>
      <c r="BK94" s="29" t="e">
        <v>#NULL!</v>
      </c>
      <c r="BL94" s="28">
        <v>1</v>
      </c>
      <c r="BM94" s="29" t="e">
        <v>#NULL!</v>
      </c>
      <c r="BO94" s="29" t="e">
        <v>#NULL!</v>
      </c>
      <c r="BP94" s="29" t="e">
        <v>#NULL!</v>
      </c>
      <c r="BQ94" s="29" t="e">
        <v>#NULL!</v>
      </c>
      <c r="BR94" s="29" t="e">
        <v>#NULL!</v>
      </c>
      <c r="BS94" s="29" t="e">
        <v>#NULL!</v>
      </c>
      <c r="BU94" s="29" t="e">
        <v>#NULL!</v>
      </c>
      <c r="BV94" s="29" t="e">
        <v>#NULL!</v>
      </c>
      <c r="BW94" s="29" t="e">
        <v>#NULL!</v>
      </c>
      <c r="BX94" s="29" t="e">
        <v>#NULL!</v>
      </c>
      <c r="BZ94" s="29" t="e">
        <v>#NULL!</v>
      </c>
      <c r="CA94" s="29" t="e">
        <v>#NULL!</v>
      </c>
      <c r="CB94" s="29" t="e">
        <v>#NULL!</v>
      </c>
      <c r="CC94" s="28">
        <v>2</v>
      </c>
      <c r="CD94" s="29" t="e">
        <v>#NULL!</v>
      </c>
      <c r="CE94" s="28">
        <v>2</v>
      </c>
      <c r="CF94" s="29" t="e">
        <v>#NULL!</v>
      </c>
      <c r="CG94" s="29" t="e">
        <v>#NULL!</v>
      </c>
      <c r="CI94" s="29" t="e">
        <v>#NULL!</v>
      </c>
      <c r="CJ94" s="29" t="e">
        <v>#NULL!</v>
      </c>
      <c r="CK94" s="29" t="e">
        <v>#NULL!</v>
      </c>
      <c r="CL94" s="29" t="e">
        <v>#NULL!</v>
      </c>
      <c r="CN94" s="29" t="e">
        <v>#NULL!</v>
      </c>
      <c r="CO94" s="29" t="e">
        <v>#NULL!</v>
      </c>
      <c r="CP94" s="29" t="e">
        <v>#NULL!</v>
      </c>
      <c r="CQ94" s="28">
        <v>2</v>
      </c>
      <c r="CR94" s="29" t="e">
        <v>#NULL!</v>
      </c>
      <c r="CS94" s="28">
        <v>10</v>
      </c>
      <c r="CT94" s="28">
        <v>10</v>
      </c>
      <c r="CU94" s="28">
        <v>10</v>
      </c>
      <c r="CV94" s="28">
        <v>10</v>
      </c>
      <c r="CW94" s="28">
        <v>10</v>
      </c>
      <c r="CX94" s="28">
        <v>10</v>
      </c>
      <c r="CY94" s="28">
        <v>10</v>
      </c>
      <c r="DA94" s="29" t="e">
        <v>#NULL!</v>
      </c>
      <c r="DB94" s="29" t="e">
        <v>#NULL!</v>
      </c>
      <c r="DC94" s="28">
        <v>10</v>
      </c>
      <c r="DD94" s="29" t="e">
        <v>#NULL!</v>
      </c>
      <c r="DE94" s="29" t="e">
        <v>#NULL!</v>
      </c>
      <c r="DF94" s="29" t="e">
        <v>#NULL!</v>
      </c>
      <c r="DG94" s="29" t="e">
        <v>#NULL!</v>
      </c>
      <c r="DH94" s="29" t="e">
        <v>#NULL!</v>
      </c>
      <c r="DI94" s="29" t="e">
        <v>#NULL!</v>
      </c>
      <c r="DJ94" s="29" t="e">
        <v>#NULL!</v>
      </c>
      <c r="DK94" s="29" t="e">
        <v>#NULL!</v>
      </c>
      <c r="DL94" s="29" t="e">
        <v>#NULL!</v>
      </c>
      <c r="DN94" s="28">
        <v>1</v>
      </c>
      <c r="DP94" s="29" t="e">
        <v>#NULL!</v>
      </c>
      <c r="DQ94" s="29" t="e">
        <v>#NULL!</v>
      </c>
      <c r="DR94" s="29" t="e">
        <v>#NULL!</v>
      </c>
      <c r="DT94" s="29" t="e">
        <v>#NULL!</v>
      </c>
      <c r="DU94" s="29" t="e">
        <v>#NULL!</v>
      </c>
      <c r="DV94" s="29" t="e">
        <v>#NULL!</v>
      </c>
      <c r="DW94" s="28">
        <v>4</v>
      </c>
      <c r="DX94" s="28">
        <v>2</v>
      </c>
      <c r="DZ94" s="29" t="e">
        <v>#NULL!</v>
      </c>
      <c r="EA94" s="29" t="e">
        <v>#NULL!</v>
      </c>
      <c r="EI94" s="29" t="e">
        <v>#NULL!</v>
      </c>
      <c r="EJ94" s="29" t="e">
        <v>#NULL!</v>
      </c>
      <c r="EK94" s="29" t="e">
        <v>#NULL!</v>
      </c>
      <c r="EL94" s="29" t="e">
        <v>#NULL!</v>
      </c>
      <c r="EM94" s="28">
        <v>7</v>
      </c>
      <c r="EN94" s="28">
        <v>7</v>
      </c>
      <c r="EP94" s="28">
        <v>2</v>
      </c>
      <c r="EQ94" s="28">
        <v>4</v>
      </c>
      <c r="ER94" s="28">
        <v>1</v>
      </c>
      <c r="ES94" s="28">
        <v>78745</v>
      </c>
      <c r="ET94" s="28">
        <v>3</v>
      </c>
      <c r="EU94" s="28">
        <v>2</v>
      </c>
      <c r="EV94" s="28">
        <v>2</v>
      </c>
      <c r="EW94" s="28">
        <v>4</v>
      </c>
      <c r="EX94" s="28">
        <v>2</v>
      </c>
      <c r="EY94" t="s">
        <v>1211</v>
      </c>
      <c r="EZ94" t="s">
        <v>1212</v>
      </c>
      <c r="FB94" t="s">
        <v>1213</v>
      </c>
      <c r="FC94" t="s">
        <v>1214</v>
      </c>
      <c r="FD94" s="29" t="e">
        <v>#NULL!</v>
      </c>
      <c r="FE94" s="29" t="e">
        <v>#NULL!</v>
      </c>
      <c r="FF94" s="28">
        <v>3</v>
      </c>
      <c r="FH94" t="s">
        <v>1215</v>
      </c>
      <c r="FI94" t="s">
        <v>1216</v>
      </c>
    </row>
    <row r="95" spans="1:165" x14ac:dyDescent="0.15">
      <c r="A95" s="28">
        <v>579</v>
      </c>
      <c r="B95" s="28">
        <v>1</v>
      </c>
      <c r="C95" s="28">
        <v>2</v>
      </c>
      <c r="D95" s="28">
        <v>1</v>
      </c>
      <c r="E95" s="29" t="e">
        <v>#NULL!</v>
      </c>
      <c r="F95" s="28">
        <v>2</v>
      </c>
      <c r="G95" s="28">
        <v>2</v>
      </c>
      <c r="H95" s="28">
        <v>4</v>
      </c>
      <c r="I95" t="s">
        <v>1217</v>
      </c>
      <c r="J95" s="28">
        <v>1</v>
      </c>
      <c r="K95" s="28">
        <v>20</v>
      </c>
      <c r="N95" t="s">
        <v>1218</v>
      </c>
      <c r="P95" s="29" t="e">
        <v>#NULL!</v>
      </c>
      <c r="Q95" s="29" t="e">
        <v>#NULL!</v>
      </c>
      <c r="R95" s="29" t="e">
        <v>#NULL!</v>
      </c>
      <c r="S95" s="29" t="e">
        <v>#NULL!</v>
      </c>
      <c r="T95" s="28">
        <v>10</v>
      </c>
      <c r="U95" s="28">
        <v>10</v>
      </c>
      <c r="V95" s="28">
        <v>10</v>
      </c>
      <c r="W95" s="28">
        <v>10</v>
      </c>
      <c r="Y95" s="29" t="e">
        <v>#NULL!</v>
      </c>
      <c r="Z95" s="29" t="e">
        <v>#NULL!</v>
      </c>
      <c r="AA95" s="29" t="e">
        <v>#NULL!</v>
      </c>
      <c r="AB95" s="29" t="e">
        <v>#NULL!</v>
      </c>
      <c r="AC95" t="s">
        <v>1219</v>
      </c>
      <c r="AD95" s="28">
        <v>21</v>
      </c>
      <c r="AE95" s="29" t="e">
        <v>#NULL!</v>
      </c>
      <c r="AF95" s="29" t="e">
        <v>#NULL!</v>
      </c>
      <c r="AG95" s="29" t="e">
        <v>#NULL!</v>
      </c>
      <c r="AI95" s="29" t="e">
        <v>#NULL!</v>
      </c>
      <c r="AJ95" s="29" t="e">
        <v>#NULL!</v>
      </c>
      <c r="AK95" s="29" t="e">
        <v>#NULL!</v>
      </c>
      <c r="AL95" s="29" t="e">
        <v>#NULL!</v>
      </c>
      <c r="AM95" t="s">
        <v>1220</v>
      </c>
      <c r="AN95" s="28">
        <v>25</v>
      </c>
      <c r="AO95" s="29" t="e">
        <v>#NULL!</v>
      </c>
      <c r="AP95" s="29" t="e">
        <v>#NULL!</v>
      </c>
      <c r="AQ95" s="29" t="e">
        <v>#NULL!</v>
      </c>
      <c r="AS95" s="29" t="e">
        <v>#NULL!</v>
      </c>
      <c r="AT95" s="29" t="e">
        <v>#NULL!</v>
      </c>
      <c r="AU95" s="29" t="e">
        <v>#NULL!</v>
      </c>
      <c r="AV95" s="29" t="e">
        <v>#NULL!</v>
      </c>
      <c r="AW95" t="s">
        <v>1221</v>
      </c>
      <c r="AX95" s="28">
        <v>22</v>
      </c>
      <c r="AY95" s="29" t="e">
        <v>#NULL!</v>
      </c>
      <c r="AZ95" s="29" t="e">
        <v>#NULL!</v>
      </c>
      <c r="BA95" s="29" t="e">
        <v>#NULL!</v>
      </c>
      <c r="BC95" s="29" t="e">
        <v>#NULL!</v>
      </c>
      <c r="BD95" s="29" t="e">
        <v>#NULL!</v>
      </c>
      <c r="BE95" s="29" t="e">
        <v>#NULL!</v>
      </c>
      <c r="BF95" s="29" t="e">
        <v>#NULL!</v>
      </c>
      <c r="BG95" t="s">
        <v>1222</v>
      </c>
      <c r="BH95" s="28">
        <v>21</v>
      </c>
      <c r="BI95" s="29" t="e">
        <v>#NULL!</v>
      </c>
      <c r="BJ95" s="29" t="e">
        <v>#NULL!</v>
      </c>
      <c r="BK95" s="29" t="e">
        <v>#NULL!</v>
      </c>
      <c r="BL95" s="28">
        <v>2</v>
      </c>
      <c r="BM95" s="28">
        <v>4</v>
      </c>
      <c r="BN95" t="s">
        <v>1223</v>
      </c>
      <c r="BO95" s="28">
        <v>98</v>
      </c>
      <c r="BP95" s="29" t="e">
        <v>#NULL!</v>
      </c>
      <c r="BQ95" s="29" t="e">
        <v>#NULL!</v>
      </c>
      <c r="BR95" s="29" t="e">
        <v>#NULL!</v>
      </c>
      <c r="BS95" s="28">
        <v>10</v>
      </c>
      <c r="BT95" t="s">
        <v>1224</v>
      </c>
      <c r="BU95" s="28">
        <v>6</v>
      </c>
      <c r="BV95" s="29" t="e">
        <v>#NULL!</v>
      </c>
      <c r="BW95" s="29" t="e">
        <v>#NULL!</v>
      </c>
      <c r="BX95" s="29" t="e">
        <v>#NULL!</v>
      </c>
      <c r="BZ95" s="29" t="e">
        <v>#NULL!</v>
      </c>
      <c r="CA95" s="29" t="e">
        <v>#NULL!</v>
      </c>
      <c r="CB95" s="29" t="e">
        <v>#NULL!</v>
      </c>
      <c r="CC95" s="28">
        <v>1</v>
      </c>
      <c r="CD95" s="28">
        <v>10</v>
      </c>
      <c r="CE95" s="28">
        <v>2</v>
      </c>
      <c r="CF95" s="29" t="e">
        <v>#NULL!</v>
      </c>
      <c r="CG95" s="29" t="e">
        <v>#NULL!</v>
      </c>
      <c r="CI95" s="29" t="e">
        <v>#NULL!</v>
      </c>
      <c r="CJ95" s="29" t="e">
        <v>#NULL!</v>
      </c>
      <c r="CK95" s="29" t="e">
        <v>#NULL!</v>
      </c>
      <c r="CL95" s="29" t="e">
        <v>#NULL!</v>
      </c>
      <c r="CN95" s="29" t="e">
        <v>#NULL!</v>
      </c>
      <c r="CO95" s="29" t="e">
        <v>#NULL!</v>
      </c>
      <c r="CP95" s="29" t="e">
        <v>#NULL!</v>
      </c>
      <c r="CQ95" s="28">
        <v>2</v>
      </c>
      <c r="CR95" s="29" t="e">
        <v>#NULL!</v>
      </c>
      <c r="CS95" s="28">
        <v>10</v>
      </c>
      <c r="CT95" s="28">
        <v>10</v>
      </c>
      <c r="CU95" s="28">
        <v>10</v>
      </c>
      <c r="CV95" s="28">
        <v>11</v>
      </c>
      <c r="CW95" s="28">
        <v>10</v>
      </c>
      <c r="CX95" s="28">
        <v>10</v>
      </c>
      <c r="CY95" s="28">
        <v>10</v>
      </c>
      <c r="DA95" s="29" t="e">
        <v>#NULL!</v>
      </c>
      <c r="DB95" s="29" t="e">
        <v>#NULL!</v>
      </c>
      <c r="DC95" s="28">
        <v>10</v>
      </c>
      <c r="DD95" s="29" t="e">
        <v>#NULL!</v>
      </c>
      <c r="DE95" s="29" t="e">
        <v>#NULL!</v>
      </c>
      <c r="DF95" s="29" t="e">
        <v>#NULL!</v>
      </c>
      <c r="DG95" s="29" t="e">
        <v>#NULL!</v>
      </c>
      <c r="DH95" s="29" t="e">
        <v>#NULL!</v>
      </c>
      <c r="DI95" s="29" t="e">
        <v>#NULL!</v>
      </c>
      <c r="DJ95" s="29" t="e">
        <v>#NULL!</v>
      </c>
      <c r="DK95" s="29" t="e">
        <v>#NULL!</v>
      </c>
      <c r="DL95" s="29" t="e">
        <v>#NULL!</v>
      </c>
      <c r="DN95" s="28">
        <v>1</v>
      </c>
      <c r="DP95" s="29" t="e">
        <v>#NULL!</v>
      </c>
      <c r="DQ95" s="29" t="e">
        <v>#NULL!</v>
      </c>
      <c r="DR95" s="29" t="e">
        <v>#NULL!</v>
      </c>
      <c r="DT95" s="29" t="e">
        <v>#NULL!</v>
      </c>
      <c r="DU95" s="29" t="e">
        <v>#NULL!</v>
      </c>
      <c r="DV95" s="29" t="e">
        <v>#NULL!</v>
      </c>
      <c r="DW95" s="28">
        <v>3</v>
      </c>
      <c r="DX95" s="28">
        <v>2</v>
      </c>
      <c r="DZ95" s="29" t="e">
        <v>#NULL!</v>
      </c>
      <c r="EA95" s="29" t="e">
        <v>#NULL!</v>
      </c>
      <c r="EI95" s="29" t="e">
        <v>#NULL!</v>
      </c>
      <c r="EJ95" s="29" t="e">
        <v>#NULL!</v>
      </c>
      <c r="EK95" s="29" t="e">
        <v>#NULL!</v>
      </c>
      <c r="EL95" s="29" t="e">
        <v>#NULL!</v>
      </c>
      <c r="EM95" s="28">
        <v>10</v>
      </c>
      <c r="EN95" s="28">
        <v>1</v>
      </c>
      <c r="EP95" s="28">
        <v>5</v>
      </c>
      <c r="EQ95" s="28">
        <v>1</v>
      </c>
      <c r="ER95" s="28">
        <v>2</v>
      </c>
      <c r="ES95" s="28">
        <v>78703</v>
      </c>
      <c r="ET95" s="28">
        <v>2</v>
      </c>
      <c r="EU95" s="28">
        <v>5</v>
      </c>
      <c r="EV95" s="28">
        <v>6</v>
      </c>
      <c r="EW95" s="28">
        <v>5</v>
      </c>
      <c r="EX95" s="28">
        <v>2</v>
      </c>
      <c r="EY95" t="s">
        <v>1225</v>
      </c>
      <c r="EZ95" t="s">
        <v>1226</v>
      </c>
      <c r="FB95" t="s">
        <v>1227</v>
      </c>
      <c r="FC95" t="s">
        <v>1228</v>
      </c>
      <c r="FD95" s="29" t="e">
        <v>#NULL!</v>
      </c>
      <c r="FE95" s="29" t="e">
        <v>#NULL!</v>
      </c>
      <c r="FF95" s="28">
        <v>3</v>
      </c>
      <c r="FH95" t="s">
        <v>1229</v>
      </c>
      <c r="FI95" t="s">
        <v>1230</v>
      </c>
    </row>
    <row r="96" spans="1:165" x14ac:dyDescent="0.15">
      <c r="A96" s="28">
        <v>583</v>
      </c>
      <c r="B96" s="28">
        <v>1</v>
      </c>
      <c r="C96" s="28">
        <v>2</v>
      </c>
      <c r="D96" s="28">
        <v>1</v>
      </c>
      <c r="E96" s="29" t="e">
        <v>#NULL!</v>
      </c>
      <c r="F96" s="28">
        <v>2</v>
      </c>
      <c r="G96" s="28">
        <v>2</v>
      </c>
      <c r="H96" s="28">
        <v>3</v>
      </c>
      <c r="J96" s="28">
        <v>2</v>
      </c>
      <c r="K96" s="28">
        <v>15</v>
      </c>
      <c r="M96" t="s">
        <v>1231</v>
      </c>
      <c r="O96" t="s">
        <v>1232</v>
      </c>
      <c r="P96" s="28">
        <v>1</v>
      </c>
      <c r="Q96" s="29" t="e">
        <v>#NULL!</v>
      </c>
      <c r="R96" s="29" t="e">
        <v>#NULL!</v>
      </c>
      <c r="S96" s="29" t="e">
        <v>#NULL!</v>
      </c>
      <c r="T96" s="28">
        <v>1</v>
      </c>
      <c r="U96" s="28">
        <v>1</v>
      </c>
      <c r="V96" s="28">
        <v>1</v>
      </c>
      <c r="W96" s="28">
        <v>1</v>
      </c>
      <c r="X96" t="s">
        <v>627</v>
      </c>
      <c r="Y96" s="29" t="e">
        <v>#NULL!</v>
      </c>
      <c r="Z96" s="29" t="e">
        <v>#NULL!</v>
      </c>
      <c r="AA96" s="29" t="e">
        <v>#NULL!</v>
      </c>
      <c r="AB96" s="29" t="e">
        <v>#NULL!</v>
      </c>
      <c r="AD96" s="29" t="e">
        <v>#NULL!</v>
      </c>
      <c r="AE96" s="29" t="e">
        <v>#NULL!</v>
      </c>
      <c r="AF96" s="29" t="e">
        <v>#NULL!</v>
      </c>
      <c r="AG96" s="29" t="e">
        <v>#NULL!</v>
      </c>
      <c r="AH96" t="s">
        <v>627</v>
      </c>
      <c r="AI96" s="29" t="e">
        <v>#NULL!</v>
      </c>
      <c r="AJ96" s="29" t="e">
        <v>#NULL!</v>
      </c>
      <c r="AK96" s="29" t="e">
        <v>#NULL!</v>
      </c>
      <c r="AL96" s="29" t="e">
        <v>#NULL!</v>
      </c>
      <c r="AN96" s="29" t="e">
        <v>#NULL!</v>
      </c>
      <c r="AO96" s="29" t="e">
        <v>#NULL!</v>
      </c>
      <c r="AP96" s="29" t="e">
        <v>#NULL!</v>
      </c>
      <c r="AQ96" s="29" t="e">
        <v>#NULL!</v>
      </c>
      <c r="AR96" t="s">
        <v>627</v>
      </c>
      <c r="AS96" s="29" t="e">
        <v>#NULL!</v>
      </c>
      <c r="AT96" s="29" t="e">
        <v>#NULL!</v>
      </c>
      <c r="AU96" s="29" t="e">
        <v>#NULL!</v>
      </c>
      <c r="AV96" s="29" t="e">
        <v>#NULL!</v>
      </c>
      <c r="AX96" s="29" t="e">
        <v>#NULL!</v>
      </c>
      <c r="AY96" s="29" t="e">
        <v>#NULL!</v>
      </c>
      <c r="AZ96" s="29" t="e">
        <v>#NULL!</v>
      </c>
      <c r="BA96" s="29" t="e">
        <v>#NULL!</v>
      </c>
      <c r="BB96" t="s">
        <v>627</v>
      </c>
      <c r="BC96" s="29" t="e">
        <v>#NULL!</v>
      </c>
      <c r="BD96" s="29" t="e">
        <v>#NULL!</v>
      </c>
      <c r="BE96" s="29" t="e">
        <v>#NULL!</v>
      </c>
      <c r="BF96" s="29" t="e">
        <v>#NULL!</v>
      </c>
      <c r="BH96" s="29" t="e">
        <v>#NULL!</v>
      </c>
      <c r="BI96" s="29" t="e">
        <v>#NULL!</v>
      </c>
      <c r="BJ96" s="29" t="e">
        <v>#NULL!</v>
      </c>
      <c r="BK96" s="29" t="e">
        <v>#NULL!</v>
      </c>
      <c r="BL96" s="28">
        <v>5</v>
      </c>
      <c r="BM96" s="28">
        <v>10</v>
      </c>
      <c r="BN96" t="s">
        <v>1153</v>
      </c>
      <c r="BO96" s="28">
        <v>98</v>
      </c>
      <c r="BP96" s="29" t="e">
        <v>#NULL!</v>
      </c>
      <c r="BQ96" s="29" t="e">
        <v>#NULL!</v>
      </c>
      <c r="BR96" s="29" t="e">
        <v>#NULL!</v>
      </c>
      <c r="BS96" s="28">
        <v>1</v>
      </c>
      <c r="BT96" t="s">
        <v>1233</v>
      </c>
      <c r="BU96" s="28">
        <v>97</v>
      </c>
      <c r="BV96" s="29" t="e">
        <v>#NULL!</v>
      </c>
      <c r="BW96" s="29" t="e">
        <v>#NULL!</v>
      </c>
      <c r="BX96" s="29" t="e">
        <v>#NULL!</v>
      </c>
      <c r="BZ96" s="29" t="e">
        <v>#NULL!</v>
      </c>
      <c r="CA96" s="29" t="e">
        <v>#NULL!</v>
      </c>
      <c r="CB96" s="29" t="e">
        <v>#NULL!</v>
      </c>
      <c r="CC96" s="28">
        <v>3</v>
      </c>
      <c r="CD96" s="29" t="e">
        <v>#NULL!</v>
      </c>
      <c r="CE96" s="28">
        <v>3</v>
      </c>
      <c r="CF96" s="29" t="e">
        <v>#NULL!</v>
      </c>
      <c r="CG96" s="29" t="e">
        <v>#NULL!</v>
      </c>
      <c r="CI96" s="29" t="e">
        <v>#NULL!</v>
      </c>
      <c r="CJ96" s="29" t="e">
        <v>#NULL!</v>
      </c>
      <c r="CK96" s="29" t="e">
        <v>#NULL!</v>
      </c>
      <c r="CL96" s="29" t="e">
        <v>#NULL!</v>
      </c>
      <c r="CN96" s="29" t="e">
        <v>#NULL!</v>
      </c>
      <c r="CO96" s="29" t="e">
        <v>#NULL!</v>
      </c>
      <c r="CP96" s="29" t="e">
        <v>#NULL!</v>
      </c>
      <c r="CQ96" s="28">
        <v>3</v>
      </c>
      <c r="CR96" s="29" t="e">
        <v>#NULL!</v>
      </c>
      <c r="CS96" s="28">
        <v>1</v>
      </c>
      <c r="CT96" s="28">
        <v>1</v>
      </c>
      <c r="CU96" s="28">
        <v>1</v>
      </c>
      <c r="CV96" s="28">
        <v>1</v>
      </c>
      <c r="CW96" s="28">
        <v>1</v>
      </c>
      <c r="CX96" s="28">
        <v>1</v>
      </c>
      <c r="CY96" s="28">
        <v>1</v>
      </c>
      <c r="CZ96" t="s">
        <v>1234</v>
      </c>
      <c r="DA96" s="28">
        <v>2</v>
      </c>
      <c r="DB96" s="29" t="e">
        <v>#NULL!</v>
      </c>
      <c r="DC96" s="28">
        <v>1</v>
      </c>
      <c r="DD96" s="28">
        <v>0</v>
      </c>
      <c r="DE96" s="28">
        <v>1</v>
      </c>
      <c r="DF96" s="28">
        <v>0</v>
      </c>
      <c r="DG96" s="28">
        <v>0</v>
      </c>
      <c r="DH96" s="28">
        <v>0</v>
      </c>
      <c r="DI96" s="28">
        <v>0</v>
      </c>
      <c r="DJ96" s="28">
        <v>0</v>
      </c>
      <c r="DK96" s="28">
        <v>0</v>
      </c>
      <c r="DL96" s="28">
        <v>0</v>
      </c>
      <c r="DN96" s="28">
        <v>2</v>
      </c>
      <c r="DO96" t="s">
        <v>1233</v>
      </c>
      <c r="DP96" s="28">
        <v>99</v>
      </c>
      <c r="DQ96" s="29" t="e">
        <v>#NULL!</v>
      </c>
      <c r="DR96" s="29" t="e">
        <v>#NULL!</v>
      </c>
      <c r="DT96" s="29" t="e">
        <v>#NULL!</v>
      </c>
      <c r="DU96" s="29" t="e">
        <v>#NULL!</v>
      </c>
      <c r="DV96" s="29" t="e">
        <v>#NULL!</v>
      </c>
      <c r="DW96" s="28">
        <v>1</v>
      </c>
      <c r="DX96" s="28">
        <v>2</v>
      </c>
      <c r="DZ96" s="29" t="e">
        <v>#NULL!</v>
      </c>
      <c r="EA96" s="29" t="e">
        <v>#NULL!</v>
      </c>
      <c r="EI96" s="29" t="e">
        <v>#NULL!</v>
      </c>
      <c r="EJ96" s="29" t="e">
        <v>#NULL!</v>
      </c>
      <c r="EK96" s="29" t="e">
        <v>#NULL!</v>
      </c>
      <c r="EL96" s="29" t="e">
        <v>#NULL!</v>
      </c>
      <c r="EM96" s="28">
        <v>11</v>
      </c>
      <c r="EN96" s="28">
        <v>7</v>
      </c>
      <c r="EP96" s="28">
        <v>7</v>
      </c>
      <c r="EQ96" s="28">
        <v>5</v>
      </c>
      <c r="ER96" s="28">
        <v>3</v>
      </c>
      <c r="ES96" s="28">
        <v>99999</v>
      </c>
      <c r="ET96" s="28">
        <v>7</v>
      </c>
      <c r="EU96" s="28">
        <v>6</v>
      </c>
      <c r="EV96" s="28">
        <v>8</v>
      </c>
      <c r="EW96" s="28">
        <v>6</v>
      </c>
      <c r="EX96" s="28">
        <v>4</v>
      </c>
      <c r="EY96" t="s">
        <v>1235</v>
      </c>
      <c r="EZ96" t="s">
        <v>1236</v>
      </c>
      <c r="FB96" t="s">
        <v>1237</v>
      </c>
      <c r="FC96" t="s">
        <v>1238</v>
      </c>
      <c r="FD96" s="29" t="e">
        <v>#NULL!</v>
      </c>
      <c r="FE96" s="29" t="e">
        <v>#NULL!</v>
      </c>
      <c r="FF96" s="28">
        <v>2</v>
      </c>
      <c r="FH96" t="s">
        <v>1239</v>
      </c>
      <c r="FI96" t="s">
        <v>1240</v>
      </c>
    </row>
    <row r="97" spans="1:165" x14ac:dyDescent="0.15">
      <c r="A97" s="28">
        <v>589</v>
      </c>
      <c r="B97" s="28">
        <v>1</v>
      </c>
      <c r="C97" s="28">
        <v>2</v>
      </c>
      <c r="D97" s="28">
        <v>1</v>
      </c>
      <c r="E97" s="29" t="e">
        <v>#NULL!</v>
      </c>
      <c r="F97" s="28">
        <v>2</v>
      </c>
      <c r="G97" s="28">
        <v>2</v>
      </c>
      <c r="H97" s="28">
        <v>2</v>
      </c>
      <c r="J97" s="28">
        <v>1</v>
      </c>
      <c r="K97" s="28">
        <v>4</v>
      </c>
      <c r="P97" s="29" t="e">
        <v>#NULL!</v>
      </c>
      <c r="Q97" s="29" t="e">
        <v>#NULL!</v>
      </c>
      <c r="R97" s="29" t="e">
        <v>#NULL!</v>
      </c>
      <c r="S97" s="29" t="e">
        <v>#NULL!</v>
      </c>
      <c r="T97" s="28">
        <v>10</v>
      </c>
      <c r="U97" s="28">
        <v>10</v>
      </c>
      <c r="V97" s="28">
        <v>10</v>
      </c>
      <c r="W97" s="28">
        <v>10</v>
      </c>
      <c r="Y97" s="29" t="e">
        <v>#NULL!</v>
      </c>
      <c r="Z97" s="29" t="e">
        <v>#NULL!</v>
      </c>
      <c r="AA97" s="29" t="e">
        <v>#NULL!</v>
      </c>
      <c r="AB97" s="29" t="e">
        <v>#NULL!</v>
      </c>
      <c r="AC97" t="s">
        <v>1241</v>
      </c>
      <c r="AD97" s="28">
        <v>21</v>
      </c>
      <c r="AE97" s="29" t="e">
        <v>#NULL!</v>
      </c>
      <c r="AF97" s="29" t="e">
        <v>#NULL!</v>
      </c>
      <c r="AG97" s="29" t="e">
        <v>#NULL!</v>
      </c>
      <c r="AI97" s="29" t="e">
        <v>#NULL!</v>
      </c>
      <c r="AJ97" s="29" t="e">
        <v>#NULL!</v>
      </c>
      <c r="AK97" s="29" t="e">
        <v>#NULL!</v>
      </c>
      <c r="AL97" s="29" t="e">
        <v>#NULL!</v>
      </c>
      <c r="AM97" t="s">
        <v>442</v>
      </c>
      <c r="AN97" s="28">
        <v>27</v>
      </c>
      <c r="AO97" s="29" t="e">
        <v>#NULL!</v>
      </c>
      <c r="AP97" s="29" t="e">
        <v>#NULL!</v>
      </c>
      <c r="AQ97" s="29" t="e">
        <v>#NULL!</v>
      </c>
      <c r="AS97" s="29" t="e">
        <v>#NULL!</v>
      </c>
      <c r="AT97" s="29" t="e">
        <v>#NULL!</v>
      </c>
      <c r="AU97" s="29" t="e">
        <v>#NULL!</v>
      </c>
      <c r="AV97" s="29" t="e">
        <v>#NULL!</v>
      </c>
      <c r="AW97" t="s">
        <v>1242</v>
      </c>
      <c r="AX97" s="28">
        <v>21</v>
      </c>
      <c r="AY97" s="29" t="e">
        <v>#NULL!</v>
      </c>
      <c r="AZ97" s="29" t="e">
        <v>#NULL!</v>
      </c>
      <c r="BA97" s="29" t="e">
        <v>#NULL!</v>
      </c>
      <c r="BC97" s="29" t="e">
        <v>#NULL!</v>
      </c>
      <c r="BD97" s="29" t="e">
        <v>#NULL!</v>
      </c>
      <c r="BE97" s="29" t="e">
        <v>#NULL!</v>
      </c>
      <c r="BF97" s="29" t="e">
        <v>#NULL!</v>
      </c>
      <c r="BG97" t="s">
        <v>1243</v>
      </c>
      <c r="BH97" s="28">
        <v>21</v>
      </c>
      <c r="BI97" s="29" t="e">
        <v>#NULL!</v>
      </c>
      <c r="BJ97" s="29" t="e">
        <v>#NULL!</v>
      </c>
      <c r="BK97" s="29" t="e">
        <v>#NULL!</v>
      </c>
      <c r="BL97" s="28">
        <v>2</v>
      </c>
      <c r="BM97" s="28">
        <v>3</v>
      </c>
      <c r="BN97" t="s">
        <v>303</v>
      </c>
      <c r="BO97" s="28">
        <v>98</v>
      </c>
      <c r="BP97" s="29" t="e">
        <v>#NULL!</v>
      </c>
      <c r="BQ97" s="29" t="e">
        <v>#NULL!</v>
      </c>
      <c r="BR97" s="29" t="e">
        <v>#NULL!</v>
      </c>
      <c r="BS97" s="28">
        <v>10</v>
      </c>
      <c r="BT97" t="s">
        <v>258</v>
      </c>
      <c r="BU97" s="28">
        <v>97</v>
      </c>
      <c r="BV97" s="29" t="e">
        <v>#NULL!</v>
      </c>
      <c r="BW97" s="29" t="e">
        <v>#NULL!</v>
      </c>
      <c r="BX97" s="29" t="e">
        <v>#NULL!</v>
      </c>
      <c r="BZ97" s="29" t="e">
        <v>#NULL!</v>
      </c>
      <c r="CA97" s="29" t="e">
        <v>#NULL!</v>
      </c>
      <c r="CB97" s="29" t="e">
        <v>#NULL!</v>
      </c>
      <c r="CC97" s="28">
        <v>2</v>
      </c>
      <c r="CD97" s="29" t="e">
        <v>#NULL!</v>
      </c>
      <c r="CE97" s="28">
        <v>2</v>
      </c>
      <c r="CF97" s="29" t="e">
        <v>#NULL!</v>
      </c>
      <c r="CG97" s="29" t="e">
        <v>#NULL!</v>
      </c>
      <c r="CI97" s="29" t="e">
        <v>#NULL!</v>
      </c>
      <c r="CJ97" s="29" t="e">
        <v>#NULL!</v>
      </c>
      <c r="CK97" s="29" t="e">
        <v>#NULL!</v>
      </c>
      <c r="CL97" s="29" t="e">
        <v>#NULL!</v>
      </c>
      <c r="CN97" s="29" t="e">
        <v>#NULL!</v>
      </c>
      <c r="CO97" s="29" t="e">
        <v>#NULL!</v>
      </c>
      <c r="CP97" s="29" t="e">
        <v>#NULL!</v>
      </c>
      <c r="CQ97" s="28">
        <v>2</v>
      </c>
      <c r="CR97" s="29" t="e">
        <v>#NULL!</v>
      </c>
      <c r="CS97" s="28">
        <v>10</v>
      </c>
      <c r="CT97" s="28">
        <v>10</v>
      </c>
      <c r="CU97" s="28">
        <v>10</v>
      </c>
      <c r="CV97" s="28">
        <v>10</v>
      </c>
      <c r="CW97" s="28">
        <v>10</v>
      </c>
      <c r="CX97" s="28">
        <v>10</v>
      </c>
      <c r="CY97" s="28">
        <v>10</v>
      </c>
      <c r="DA97" s="29" t="e">
        <v>#NULL!</v>
      </c>
      <c r="DB97" s="29" t="e">
        <v>#NULL!</v>
      </c>
      <c r="DC97" s="28">
        <v>10</v>
      </c>
      <c r="DD97" s="29" t="e">
        <v>#NULL!</v>
      </c>
      <c r="DE97" s="29" t="e">
        <v>#NULL!</v>
      </c>
      <c r="DF97" s="29" t="e">
        <v>#NULL!</v>
      </c>
      <c r="DG97" s="29" t="e">
        <v>#NULL!</v>
      </c>
      <c r="DH97" s="29" t="e">
        <v>#NULL!</v>
      </c>
      <c r="DI97" s="29" t="e">
        <v>#NULL!</v>
      </c>
      <c r="DJ97" s="29" t="e">
        <v>#NULL!</v>
      </c>
      <c r="DK97" s="29" t="e">
        <v>#NULL!</v>
      </c>
      <c r="DL97" s="29" t="e">
        <v>#NULL!</v>
      </c>
      <c r="DN97" s="28">
        <v>1</v>
      </c>
      <c r="DP97" s="29" t="e">
        <v>#NULL!</v>
      </c>
      <c r="DQ97" s="29" t="e">
        <v>#NULL!</v>
      </c>
      <c r="DR97" s="29" t="e">
        <v>#NULL!</v>
      </c>
      <c r="DT97" s="29" t="e">
        <v>#NULL!</v>
      </c>
      <c r="DU97" s="29" t="e">
        <v>#NULL!</v>
      </c>
      <c r="DV97" s="29" t="e">
        <v>#NULL!</v>
      </c>
      <c r="DW97" s="28">
        <v>2</v>
      </c>
      <c r="DX97" s="28">
        <v>2</v>
      </c>
      <c r="DZ97" s="29" t="e">
        <v>#NULL!</v>
      </c>
      <c r="EA97" s="29" t="e">
        <v>#NULL!</v>
      </c>
      <c r="EI97" s="29" t="e">
        <v>#NULL!</v>
      </c>
      <c r="EJ97" s="29" t="e">
        <v>#NULL!</v>
      </c>
      <c r="EK97" s="29" t="e">
        <v>#NULL!</v>
      </c>
      <c r="EL97" s="29" t="e">
        <v>#NULL!</v>
      </c>
      <c r="EM97" s="28">
        <v>9</v>
      </c>
      <c r="EN97" s="28">
        <v>1</v>
      </c>
      <c r="EP97" s="28">
        <v>1</v>
      </c>
      <c r="EQ97" s="28">
        <v>1</v>
      </c>
      <c r="ER97" s="28">
        <v>2</v>
      </c>
      <c r="ES97" s="28">
        <v>78737</v>
      </c>
      <c r="ET97" s="28">
        <v>2</v>
      </c>
      <c r="EU97" s="28">
        <v>5</v>
      </c>
      <c r="EV97" s="28">
        <v>6</v>
      </c>
      <c r="EW97" s="28">
        <v>5</v>
      </c>
      <c r="EX97" s="28">
        <v>2</v>
      </c>
      <c r="EY97" t="s">
        <v>1244</v>
      </c>
      <c r="EZ97" t="s">
        <v>1245</v>
      </c>
      <c r="FB97" t="s">
        <v>1246</v>
      </c>
      <c r="FC97" t="s">
        <v>1247</v>
      </c>
      <c r="FD97" s="29" t="e">
        <v>#NULL!</v>
      </c>
      <c r="FE97" s="29" t="e">
        <v>#NULL!</v>
      </c>
      <c r="FF97" s="28">
        <v>2</v>
      </c>
      <c r="FH97" t="s">
        <v>1248</v>
      </c>
      <c r="FI97" t="s">
        <v>1249</v>
      </c>
    </row>
    <row r="98" spans="1:165" x14ac:dyDescent="0.15">
      <c r="A98" s="28">
        <v>592</v>
      </c>
      <c r="B98" s="28">
        <v>1</v>
      </c>
      <c r="C98" s="28">
        <v>2</v>
      </c>
      <c r="D98" s="28">
        <v>1</v>
      </c>
      <c r="E98" s="29" t="e">
        <v>#NULL!</v>
      </c>
      <c r="F98" s="28">
        <v>2</v>
      </c>
      <c r="G98" s="28">
        <v>2</v>
      </c>
      <c r="H98" s="28">
        <v>2</v>
      </c>
      <c r="J98" s="28">
        <v>1</v>
      </c>
      <c r="K98" s="28">
        <v>2</v>
      </c>
      <c r="P98" s="29" t="e">
        <v>#NULL!</v>
      </c>
      <c r="Q98" s="29" t="e">
        <v>#NULL!</v>
      </c>
      <c r="R98" s="29" t="e">
        <v>#NULL!</v>
      </c>
      <c r="S98" s="29" t="e">
        <v>#NULL!</v>
      </c>
      <c r="T98" s="28">
        <v>3</v>
      </c>
      <c r="U98" s="28">
        <v>4</v>
      </c>
      <c r="V98" s="28">
        <v>3</v>
      </c>
      <c r="W98" s="28">
        <v>4</v>
      </c>
      <c r="X98" t="s">
        <v>1250</v>
      </c>
      <c r="Y98" s="28">
        <v>2</v>
      </c>
      <c r="Z98" s="29" t="e">
        <v>#NULL!</v>
      </c>
      <c r="AA98" s="29" t="e">
        <v>#NULL!</v>
      </c>
      <c r="AB98" s="29" t="e">
        <v>#NULL!</v>
      </c>
      <c r="AD98" s="29" t="e">
        <v>#NULL!</v>
      </c>
      <c r="AE98" s="29" t="e">
        <v>#NULL!</v>
      </c>
      <c r="AF98" s="29" t="e">
        <v>#NULL!</v>
      </c>
      <c r="AG98" s="29" t="e">
        <v>#NULL!</v>
      </c>
      <c r="AI98" s="29" t="e">
        <v>#NULL!</v>
      </c>
      <c r="AJ98" s="29" t="e">
        <v>#NULL!</v>
      </c>
      <c r="AK98" s="29" t="e">
        <v>#NULL!</v>
      </c>
      <c r="AL98" s="29" t="e">
        <v>#NULL!</v>
      </c>
      <c r="AN98" s="29" t="e">
        <v>#NULL!</v>
      </c>
      <c r="AO98" s="29" t="e">
        <v>#NULL!</v>
      </c>
      <c r="AP98" s="29" t="e">
        <v>#NULL!</v>
      </c>
      <c r="AQ98" s="29" t="e">
        <v>#NULL!</v>
      </c>
      <c r="AR98" t="s">
        <v>1250</v>
      </c>
      <c r="AS98" s="28">
        <v>2</v>
      </c>
      <c r="AT98" s="29" t="e">
        <v>#NULL!</v>
      </c>
      <c r="AU98" s="29" t="e">
        <v>#NULL!</v>
      </c>
      <c r="AV98" s="29" t="e">
        <v>#NULL!</v>
      </c>
      <c r="AX98" s="29" t="e">
        <v>#NULL!</v>
      </c>
      <c r="AY98" s="29" t="e">
        <v>#NULL!</v>
      </c>
      <c r="AZ98" s="29" t="e">
        <v>#NULL!</v>
      </c>
      <c r="BA98" s="29" t="e">
        <v>#NULL!</v>
      </c>
      <c r="BC98" s="29" t="e">
        <v>#NULL!</v>
      </c>
      <c r="BD98" s="29" t="e">
        <v>#NULL!</v>
      </c>
      <c r="BE98" s="29" t="e">
        <v>#NULL!</v>
      </c>
      <c r="BF98" s="29" t="e">
        <v>#NULL!</v>
      </c>
      <c r="BH98" s="29" t="e">
        <v>#NULL!</v>
      </c>
      <c r="BI98" s="29" t="e">
        <v>#NULL!</v>
      </c>
      <c r="BJ98" s="29" t="e">
        <v>#NULL!</v>
      </c>
      <c r="BK98" s="29" t="e">
        <v>#NULL!</v>
      </c>
      <c r="BL98" s="28">
        <v>4</v>
      </c>
      <c r="BM98" s="29" t="e">
        <v>#NULL!</v>
      </c>
      <c r="BO98" s="29" t="e">
        <v>#NULL!</v>
      </c>
      <c r="BP98" s="29" t="e">
        <v>#NULL!</v>
      </c>
      <c r="BQ98" s="29" t="e">
        <v>#NULL!</v>
      </c>
      <c r="BR98" s="29" t="e">
        <v>#NULL!</v>
      </c>
      <c r="BS98" s="29" t="e">
        <v>#NULL!</v>
      </c>
      <c r="BU98" s="29" t="e">
        <v>#NULL!</v>
      </c>
      <c r="BV98" s="29" t="e">
        <v>#NULL!</v>
      </c>
      <c r="BW98" s="29" t="e">
        <v>#NULL!</v>
      </c>
      <c r="BX98" s="28">
        <v>3</v>
      </c>
      <c r="BY98" t="s">
        <v>1251</v>
      </c>
      <c r="BZ98" s="28">
        <v>2</v>
      </c>
      <c r="CA98" s="29" t="e">
        <v>#NULL!</v>
      </c>
      <c r="CB98" s="29" t="e">
        <v>#NULL!</v>
      </c>
      <c r="CC98" s="28">
        <v>1</v>
      </c>
      <c r="CD98" s="28">
        <v>5</v>
      </c>
      <c r="CE98" s="28">
        <v>1</v>
      </c>
      <c r="CF98" s="28">
        <v>1</v>
      </c>
      <c r="CG98" s="28">
        <v>2</v>
      </c>
      <c r="CH98" t="s">
        <v>1252</v>
      </c>
      <c r="CI98" s="28">
        <v>5</v>
      </c>
      <c r="CJ98" s="29" t="e">
        <v>#NULL!</v>
      </c>
      <c r="CK98" s="29" t="e">
        <v>#NULL!</v>
      </c>
      <c r="CL98" s="28">
        <v>5</v>
      </c>
      <c r="CM98" t="s">
        <v>1253</v>
      </c>
      <c r="CN98" s="28">
        <v>7</v>
      </c>
      <c r="CO98" s="29" t="e">
        <v>#NULL!</v>
      </c>
      <c r="CP98" s="29" t="e">
        <v>#NULL!</v>
      </c>
      <c r="CQ98" s="28">
        <v>1</v>
      </c>
      <c r="CR98" s="28">
        <v>1</v>
      </c>
      <c r="CS98" s="28">
        <v>8</v>
      </c>
      <c r="CT98" s="28">
        <v>4</v>
      </c>
      <c r="CU98" s="28">
        <v>2</v>
      </c>
      <c r="CV98" s="28">
        <v>3</v>
      </c>
      <c r="CW98" s="28">
        <v>2</v>
      </c>
      <c r="CX98" s="28">
        <v>5</v>
      </c>
      <c r="CY98" s="28">
        <v>4</v>
      </c>
      <c r="CZ98" t="s">
        <v>1254</v>
      </c>
      <c r="DA98" s="28">
        <v>4</v>
      </c>
      <c r="DB98" s="29" t="e">
        <v>#NULL!</v>
      </c>
      <c r="DC98" s="28">
        <v>4</v>
      </c>
      <c r="DD98" s="28">
        <v>0</v>
      </c>
      <c r="DE98" s="28">
        <v>0</v>
      </c>
      <c r="DF98" s="28">
        <v>0</v>
      </c>
      <c r="DG98" s="28">
        <v>0</v>
      </c>
      <c r="DH98" s="28">
        <v>0</v>
      </c>
      <c r="DI98" s="28">
        <v>1</v>
      </c>
      <c r="DJ98" s="28">
        <v>0</v>
      </c>
      <c r="DK98" s="28">
        <v>0</v>
      </c>
      <c r="DL98" s="28">
        <v>0</v>
      </c>
      <c r="DN98" s="28">
        <v>2</v>
      </c>
      <c r="DO98" t="s">
        <v>1255</v>
      </c>
      <c r="DP98" s="28">
        <v>97</v>
      </c>
      <c r="DQ98" s="29" t="e">
        <v>#NULL!</v>
      </c>
      <c r="DR98" s="29" t="e">
        <v>#NULL!</v>
      </c>
      <c r="DT98" s="29" t="e">
        <v>#NULL!</v>
      </c>
      <c r="DU98" s="29" t="e">
        <v>#NULL!</v>
      </c>
      <c r="DV98" s="29" t="e">
        <v>#NULL!</v>
      </c>
      <c r="DW98" s="28">
        <v>1</v>
      </c>
      <c r="DX98" s="28">
        <v>2</v>
      </c>
      <c r="DZ98" s="29" t="e">
        <v>#NULL!</v>
      </c>
      <c r="EA98" s="29" t="e">
        <v>#NULL!</v>
      </c>
      <c r="EI98" s="29" t="e">
        <v>#NULL!</v>
      </c>
      <c r="EJ98" s="29" t="e">
        <v>#NULL!</v>
      </c>
      <c r="EK98" s="29" t="e">
        <v>#NULL!</v>
      </c>
      <c r="EL98" s="29" t="e">
        <v>#NULL!</v>
      </c>
      <c r="EM98" s="28">
        <v>11</v>
      </c>
      <c r="EN98" s="28">
        <v>7</v>
      </c>
      <c r="EP98" s="28">
        <v>1</v>
      </c>
      <c r="EQ98" s="28">
        <v>5</v>
      </c>
      <c r="ER98" s="28">
        <v>2</v>
      </c>
      <c r="ES98" s="28">
        <v>99999</v>
      </c>
      <c r="ET98" s="28">
        <v>7</v>
      </c>
      <c r="EU98" s="28">
        <v>5</v>
      </c>
      <c r="EV98" s="28">
        <v>4</v>
      </c>
      <c r="EW98" s="28">
        <v>5</v>
      </c>
      <c r="EX98" s="28">
        <v>3</v>
      </c>
      <c r="EY98" t="s">
        <v>1256</v>
      </c>
      <c r="EZ98" t="s">
        <v>1256</v>
      </c>
      <c r="FB98" t="s">
        <v>1257</v>
      </c>
      <c r="FC98" t="s">
        <v>1258</v>
      </c>
      <c r="FD98" s="29" t="e">
        <v>#NULL!</v>
      </c>
      <c r="FE98" s="29" t="e">
        <v>#NULL!</v>
      </c>
      <c r="FF98" s="28">
        <v>2</v>
      </c>
      <c r="FH98" t="s">
        <v>1259</v>
      </c>
      <c r="FI98" t="s">
        <v>1260</v>
      </c>
    </row>
    <row r="99" spans="1:165" x14ac:dyDescent="0.15">
      <c r="A99" s="28">
        <v>598</v>
      </c>
      <c r="B99" s="28">
        <v>1</v>
      </c>
      <c r="C99" s="28">
        <v>2</v>
      </c>
      <c r="D99" s="28">
        <v>1</v>
      </c>
      <c r="E99" s="29" t="e">
        <v>#NULL!</v>
      </c>
      <c r="F99" s="28">
        <v>2</v>
      </c>
      <c r="G99" s="28">
        <v>2</v>
      </c>
      <c r="H99" s="28">
        <v>2</v>
      </c>
      <c r="J99" s="28">
        <v>1</v>
      </c>
      <c r="K99" s="28">
        <v>3</v>
      </c>
      <c r="P99" s="29" t="e">
        <v>#NULL!</v>
      </c>
      <c r="Q99" s="29" t="e">
        <v>#NULL!</v>
      </c>
      <c r="R99" s="29" t="e">
        <v>#NULL!</v>
      </c>
      <c r="S99" s="29" t="e">
        <v>#NULL!</v>
      </c>
      <c r="T99" s="28">
        <v>10</v>
      </c>
      <c r="U99" s="28">
        <v>10</v>
      </c>
      <c r="V99" s="28">
        <v>10</v>
      </c>
      <c r="W99" s="28">
        <v>10</v>
      </c>
      <c r="Y99" s="29" t="e">
        <v>#NULL!</v>
      </c>
      <c r="Z99" s="29" t="e">
        <v>#NULL!</v>
      </c>
      <c r="AA99" s="29" t="e">
        <v>#NULL!</v>
      </c>
      <c r="AB99" s="29" t="e">
        <v>#NULL!</v>
      </c>
      <c r="AC99" t="s">
        <v>272</v>
      </c>
      <c r="AD99" s="29" t="e">
        <v>#NULL!</v>
      </c>
      <c r="AE99" s="29" t="e">
        <v>#NULL!</v>
      </c>
      <c r="AF99" s="29" t="e">
        <v>#NULL!</v>
      </c>
      <c r="AG99" s="29" t="e">
        <v>#NULL!</v>
      </c>
      <c r="AI99" s="29" t="e">
        <v>#NULL!</v>
      </c>
      <c r="AJ99" s="29" t="e">
        <v>#NULL!</v>
      </c>
      <c r="AK99" s="29" t="e">
        <v>#NULL!</v>
      </c>
      <c r="AL99" s="29" t="e">
        <v>#NULL!</v>
      </c>
      <c r="AM99" t="s">
        <v>288</v>
      </c>
      <c r="AN99" s="29" t="e">
        <v>#NULL!</v>
      </c>
      <c r="AO99" s="29" t="e">
        <v>#NULL!</v>
      </c>
      <c r="AP99" s="29" t="e">
        <v>#NULL!</v>
      </c>
      <c r="AQ99" s="29" t="e">
        <v>#NULL!</v>
      </c>
      <c r="AS99" s="29" t="e">
        <v>#NULL!</v>
      </c>
      <c r="AT99" s="29" t="e">
        <v>#NULL!</v>
      </c>
      <c r="AU99" s="29" t="e">
        <v>#NULL!</v>
      </c>
      <c r="AV99" s="29" t="e">
        <v>#NULL!</v>
      </c>
      <c r="AW99" t="s">
        <v>1261</v>
      </c>
      <c r="AX99" s="29" t="e">
        <v>#NULL!</v>
      </c>
      <c r="AY99" s="29" t="e">
        <v>#NULL!</v>
      </c>
      <c r="AZ99" s="29" t="e">
        <v>#NULL!</v>
      </c>
      <c r="BA99" s="29" t="e">
        <v>#NULL!</v>
      </c>
      <c r="BC99" s="29" t="e">
        <v>#NULL!</v>
      </c>
      <c r="BD99" s="29" t="e">
        <v>#NULL!</v>
      </c>
      <c r="BE99" s="29" t="e">
        <v>#NULL!</v>
      </c>
      <c r="BF99" s="29" t="e">
        <v>#NULL!</v>
      </c>
      <c r="BG99" t="s">
        <v>248</v>
      </c>
      <c r="BH99" s="29" t="e">
        <v>#NULL!</v>
      </c>
      <c r="BI99" s="29" t="e">
        <v>#NULL!</v>
      </c>
      <c r="BJ99" s="29" t="e">
        <v>#NULL!</v>
      </c>
      <c r="BK99" s="29" t="e">
        <v>#NULL!</v>
      </c>
      <c r="BL99" s="28">
        <v>1</v>
      </c>
      <c r="BM99" s="29" t="e">
        <v>#NULL!</v>
      </c>
      <c r="BO99" s="29" t="e">
        <v>#NULL!</v>
      </c>
      <c r="BP99" s="29" t="e">
        <v>#NULL!</v>
      </c>
      <c r="BQ99" s="29" t="e">
        <v>#NULL!</v>
      </c>
      <c r="BR99" s="29" t="e">
        <v>#NULL!</v>
      </c>
      <c r="BS99" s="29" t="e">
        <v>#NULL!</v>
      </c>
      <c r="BU99" s="29" t="e">
        <v>#NULL!</v>
      </c>
      <c r="BV99" s="29" t="e">
        <v>#NULL!</v>
      </c>
      <c r="BW99" s="29" t="e">
        <v>#NULL!</v>
      </c>
      <c r="BX99" s="29" t="e">
        <v>#NULL!</v>
      </c>
      <c r="BZ99" s="29" t="e">
        <v>#NULL!</v>
      </c>
      <c r="CA99" s="29" t="e">
        <v>#NULL!</v>
      </c>
      <c r="CB99" s="29" t="e">
        <v>#NULL!</v>
      </c>
      <c r="CC99" s="28">
        <v>2</v>
      </c>
      <c r="CD99" s="29" t="e">
        <v>#NULL!</v>
      </c>
      <c r="CE99" s="28">
        <v>2</v>
      </c>
      <c r="CF99" s="29" t="e">
        <v>#NULL!</v>
      </c>
      <c r="CG99" s="29" t="e">
        <v>#NULL!</v>
      </c>
      <c r="CI99" s="29" t="e">
        <v>#NULL!</v>
      </c>
      <c r="CJ99" s="29" t="e">
        <v>#NULL!</v>
      </c>
      <c r="CK99" s="29" t="e">
        <v>#NULL!</v>
      </c>
      <c r="CL99" s="29" t="e">
        <v>#NULL!</v>
      </c>
      <c r="CN99" s="29" t="e">
        <v>#NULL!</v>
      </c>
      <c r="CO99" s="29" t="e">
        <v>#NULL!</v>
      </c>
      <c r="CP99" s="29" t="e">
        <v>#NULL!</v>
      </c>
      <c r="CQ99" s="28">
        <v>2</v>
      </c>
      <c r="CR99" s="29" t="e">
        <v>#NULL!</v>
      </c>
      <c r="CS99" s="28">
        <v>10</v>
      </c>
      <c r="CT99" s="28">
        <v>10</v>
      </c>
      <c r="CU99" s="28">
        <v>10</v>
      </c>
      <c r="CV99" s="28">
        <v>10</v>
      </c>
      <c r="CW99" s="28">
        <v>10</v>
      </c>
      <c r="CX99" s="28">
        <v>10</v>
      </c>
      <c r="CY99" s="28">
        <v>10</v>
      </c>
      <c r="DA99" s="29" t="e">
        <v>#NULL!</v>
      </c>
      <c r="DB99" s="29" t="e">
        <v>#NULL!</v>
      </c>
      <c r="DC99" s="28">
        <v>10</v>
      </c>
      <c r="DD99" s="29" t="e">
        <v>#NULL!</v>
      </c>
      <c r="DE99" s="29" t="e">
        <v>#NULL!</v>
      </c>
      <c r="DF99" s="29" t="e">
        <v>#NULL!</v>
      </c>
      <c r="DG99" s="29" t="e">
        <v>#NULL!</v>
      </c>
      <c r="DH99" s="29" t="e">
        <v>#NULL!</v>
      </c>
      <c r="DI99" s="29" t="e">
        <v>#NULL!</v>
      </c>
      <c r="DJ99" s="29" t="e">
        <v>#NULL!</v>
      </c>
      <c r="DK99" s="29" t="e">
        <v>#NULL!</v>
      </c>
      <c r="DL99" s="29" t="e">
        <v>#NULL!</v>
      </c>
      <c r="DN99" s="28">
        <v>1</v>
      </c>
      <c r="DP99" s="29" t="e">
        <v>#NULL!</v>
      </c>
      <c r="DQ99" s="29" t="e">
        <v>#NULL!</v>
      </c>
      <c r="DR99" s="29" t="e">
        <v>#NULL!</v>
      </c>
      <c r="DT99" s="29" t="e">
        <v>#NULL!</v>
      </c>
      <c r="DU99" s="29" t="e">
        <v>#NULL!</v>
      </c>
      <c r="DV99" s="29" t="e">
        <v>#NULL!</v>
      </c>
      <c r="DW99" s="28">
        <v>3</v>
      </c>
      <c r="DX99" s="28">
        <v>1</v>
      </c>
      <c r="DY99" t="s">
        <v>1262</v>
      </c>
      <c r="DZ99" s="28">
        <v>99</v>
      </c>
      <c r="EA99" s="29" t="e">
        <v>#NULL!</v>
      </c>
      <c r="EI99" s="29" t="e">
        <v>#NULL!</v>
      </c>
      <c r="EJ99" s="29" t="e">
        <v>#NULL!</v>
      </c>
      <c r="EK99" s="29" t="e">
        <v>#NULL!</v>
      </c>
      <c r="EL99" s="29" t="e">
        <v>#NULL!</v>
      </c>
      <c r="EM99" s="28">
        <v>9</v>
      </c>
      <c r="EN99" s="28">
        <v>2</v>
      </c>
      <c r="EP99" s="28">
        <v>5</v>
      </c>
      <c r="EQ99" s="28">
        <v>3</v>
      </c>
      <c r="ER99" s="28">
        <v>1</v>
      </c>
      <c r="ES99" s="28">
        <v>78748</v>
      </c>
      <c r="ET99" s="28">
        <v>2</v>
      </c>
      <c r="EU99" s="28">
        <v>6</v>
      </c>
      <c r="EV99" s="28">
        <v>2</v>
      </c>
      <c r="EW99" s="28">
        <v>5</v>
      </c>
      <c r="EX99" s="28">
        <v>2</v>
      </c>
      <c r="EY99" t="s">
        <v>1263</v>
      </c>
      <c r="EZ99" t="s">
        <v>804</v>
      </c>
      <c r="FB99" t="s">
        <v>1264</v>
      </c>
      <c r="FC99" t="s">
        <v>1265</v>
      </c>
      <c r="FD99" s="29" t="e">
        <v>#NULL!</v>
      </c>
      <c r="FE99" s="29" t="e">
        <v>#NULL!</v>
      </c>
      <c r="FF99" s="28">
        <v>2</v>
      </c>
      <c r="FH99" t="s">
        <v>1266</v>
      </c>
      <c r="FI99" t="s">
        <v>1267</v>
      </c>
    </row>
    <row r="100" spans="1:165" x14ac:dyDescent="0.15">
      <c r="A100" s="28">
        <v>600</v>
      </c>
      <c r="B100" s="28">
        <v>1</v>
      </c>
      <c r="C100" s="28">
        <v>2</v>
      </c>
      <c r="D100" s="28">
        <v>1</v>
      </c>
      <c r="E100" s="29" t="e">
        <v>#NULL!</v>
      </c>
      <c r="F100" s="28">
        <v>2</v>
      </c>
      <c r="G100" s="28">
        <v>2</v>
      </c>
      <c r="H100" s="28">
        <v>2</v>
      </c>
      <c r="J100" s="28">
        <v>1</v>
      </c>
      <c r="K100" s="28">
        <v>2</v>
      </c>
      <c r="P100" s="29" t="e">
        <v>#NULL!</v>
      </c>
      <c r="Q100" s="29" t="e">
        <v>#NULL!</v>
      </c>
      <c r="R100" s="29" t="e">
        <v>#NULL!</v>
      </c>
      <c r="S100" s="29" t="e">
        <v>#NULL!</v>
      </c>
      <c r="T100" s="28">
        <v>1</v>
      </c>
      <c r="U100" s="28">
        <v>1</v>
      </c>
      <c r="V100" s="28">
        <v>1</v>
      </c>
      <c r="W100" s="28">
        <v>2</v>
      </c>
      <c r="X100" t="s">
        <v>1268</v>
      </c>
      <c r="Y100" s="28">
        <v>7</v>
      </c>
      <c r="Z100" s="29" t="e">
        <v>#NULL!</v>
      </c>
      <c r="AA100" s="29" t="e">
        <v>#NULL!</v>
      </c>
      <c r="AB100" s="29" t="e">
        <v>#NULL!</v>
      </c>
      <c r="AD100" s="29" t="e">
        <v>#NULL!</v>
      </c>
      <c r="AE100" s="29" t="e">
        <v>#NULL!</v>
      </c>
      <c r="AF100" s="29" t="e">
        <v>#NULL!</v>
      </c>
      <c r="AG100" s="29" t="e">
        <v>#NULL!</v>
      </c>
      <c r="AH100" t="s">
        <v>1269</v>
      </c>
      <c r="AI100" s="28">
        <v>7</v>
      </c>
      <c r="AJ100" s="29" t="e">
        <v>#NULL!</v>
      </c>
      <c r="AK100" s="29" t="e">
        <v>#NULL!</v>
      </c>
      <c r="AL100" s="29" t="e">
        <v>#NULL!</v>
      </c>
      <c r="AN100" s="29" t="e">
        <v>#NULL!</v>
      </c>
      <c r="AO100" s="29" t="e">
        <v>#NULL!</v>
      </c>
      <c r="AP100" s="29" t="e">
        <v>#NULL!</v>
      </c>
      <c r="AQ100" s="29" t="e">
        <v>#NULL!</v>
      </c>
      <c r="AR100" t="s">
        <v>1270</v>
      </c>
      <c r="AS100" s="28">
        <v>5</v>
      </c>
      <c r="AT100" s="29" t="e">
        <v>#NULL!</v>
      </c>
      <c r="AU100" s="29" t="e">
        <v>#NULL!</v>
      </c>
      <c r="AV100" s="29" t="e">
        <v>#NULL!</v>
      </c>
      <c r="AX100" s="29" t="e">
        <v>#NULL!</v>
      </c>
      <c r="AY100" s="29" t="e">
        <v>#NULL!</v>
      </c>
      <c r="AZ100" s="29" t="e">
        <v>#NULL!</v>
      </c>
      <c r="BA100" s="29" t="e">
        <v>#NULL!</v>
      </c>
      <c r="BB100" t="s">
        <v>1271</v>
      </c>
      <c r="BC100" s="28">
        <v>2</v>
      </c>
      <c r="BD100" s="29" t="e">
        <v>#NULL!</v>
      </c>
      <c r="BE100" s="29" t="e">
        <v>#NULL!</v>
      </c>
      <c r="BF100" s="29" t="e">
        <v>#NULL!</v>
      </c>
      <c r="BH100" s="29" t="e">
        <v>#NULL!</v>
      </c>
      <c r="BI100" s="29" t="e">
        <v>#NULL!</v>
      </c>
      <c r="BJ100" s="29" t="e">
        <v>#NULL!</v>
      </c>
      <c r="BK100" s="29" t="e">
        <v>#NULL!</v>
      </c>
      <c r="BL100" s="28">
        <v>2</v>
      </c>
      <c r="BM100" s="28">
        <v>9</v>
      </c>
      <c r="BN100" t="s">
        <v>1272</v>
      </c>
      <c r="BO100" s="28">
        <v>99</v>
      </c>
      <c r="BP100" s="29" t="e">
        <v>#NULL!</v>
      </c>
      <c r="BQ100" s="29" t="e">
        <v>#NULL!</v>
      </c>
      <c r="BR100" s="29" t="e">
        <v>#NULL!</v>
      </c>
      <c r="BS100" s="28">
        <v>10</v>
      </c>
      <c r="BT100" t="s">
        <v>1273</v>
      </c>
      <c r="BU100" s="28">
        <v>21</v>
      </c>
      <c r="BV100" s="29" t="e">
        <v>#NULL!</v>
      </c>
      <c r="BW100" s="29" t="e">
        <v>#NULL!</v>
      </c>
      <c r="BX100" s="29" t="e">
        <v>#NULL!</v>
      </c>
      <c r="BZ100" s="29" t="e">
        <v>#NULL!</v>
      </c>
      <c r="CA100" s="29" t="e">
        <v>#NULL!</v>
      </c>
      <c r="CB100" s="29" t="e">
        <v>#NULL!</v>
      </c>
      <c r="CC100" s="28">
        <v>1</v>
      </c>
      <c r="CD100" s="28">
        <v>11</v>
      </c>
      <c r="CE100" s="28">
        <v>1</v>
      </c>
      <c r="CF100" s="28">
        <v>1</v>
      </c>
      <c r="CG100" s="28">
        <v>2</v>
      </c>
      <c r="CH100" t="s">
        <v>1274</v>
      </c>
      <c r="CI100" s="28">
        <v>1</v>
      </c>
      <c r="CJ100" s="29" t="e">
        <v>#NULL!</v>
      </c>
      <c r="CK100" s="29" t="e">
        <v>#NULL!</v>
      </c>
      <c r="CL100" s="28">
        <v>1</v>
      </c>
      <c r="CM100" t="s">
        <v>1275</v>
      </c>
      <c r="CN100" s="28">
        <v>99</v>
      </c>
      <c r="CO100" s="29" t="e">
        <v>#NULL!</v>
      </c>
      <c r="CP100" s="29" t="e">
        <v>#NULL!</v>
      </c>
      <c r="CQ100" s="28">
        <v>1</v>
      </c>
      <c r="CR100" s="28">
        <v>1</v>
      </c>
      <c r="CS100" s="28">
        <v>10</v>
      </c>
      <c r="CT100" s="28">
        <v>10</v>
      </c>
      <c r="CU100" s="28">
        <v>10</v>
      </c>
      <c r="CV100" s="28">
        <v>1</v>
      </c>
      <c r="CW100" s="28">
        <v>5</v>
      </c>
      <c r="CX100" s="28">
        <v>10</v>
      </c>
      <c r="CY100" s="28">
        <v>2</v>
      </c>
      <c r="CZ100" t="s">
        <v>1276</v>
      </c>
      <c r="DA100" s="28">
        <v>5</v>
      </c>
      <c r="DB100" s="29" t="e">
        <v>#NULL!</v>
      </c>
      <c r="DC100" s="28">
        <v>1</v>
      </c>
      <c r="DD100" s="28">
        <v>0</v>
      </c>
      <c r="DE100" s="28">
        <v>1</v>
      </c>
      <c r="DF100" s="28">
        <v>0</v>
      </c>
      <c r="DG100" s="28">
        <v>0</v>
      </c>
      <c r="DH100" s="28">
        <v>0</v>
      </c>
      <c r="DI100" s="28">
        <v>0</v>
      </c>
      <c r="DJ100" s="28">
        <v>0</v>
      </c>
      <c r="DK100" s="28">
        <v>0</v>
      </c>
      <c r="DL100" s="28">
        <v>0</v>
      </c>
      <c r="DN100" s="28">
        <v>2</v>
      </c>
      <c r="DO100" t="s">
        <v>1277</v>
      </c>
      <c r="DP100" s="28">
        <v>1</v>
      </c>
      <c r="DQ100" s="29" t="e">
        <v>#NULL!</v>
      </c>
      <c r="DR100" s="29" t="e">
        <v>#NULL!</v>
      </c>
      <c r="DT100" s="29" t="e">
        <v>#NULL!</v>
      </c>
      <c r="DU100" s="29" t="e">
        <v>#NULL!</v>
      </c>
      <c r="DV100" s="29" t="e">
        <v>#NULL!</v>
      </c>
      <c r="DW100" s="28">
        <v>1</v>
      </c>
      <c r="DX100" s="28">
        <v>3</v>
      </c>
      <c r="DZ100" s="29" t="e">
        <v>#NULL!</v>
      </c>
      <c r="EA100" s="29" t="e">
        <v>#NULL!</v>
      </c>
      <c r="EI100" s="29" t="e">
        <v>#NULL!</v>
      </c>
      <c r="EJ100" s="29" t="e">
        <v>#NULL!</v>
      </c>
      <c r="EK100" s="29" t="e">
        <v>#NULL!</v>
      </c>
      <c r="EL100" s="29" t="e">
        <v>#NULL!</v>
      </c>
      <c r="EM100" s="28">
        <v>6</v>
      </c>
      <c r="EN100" s="28">
        <v>1</v>
      </c>
      <c r="EP100" s="28">
        <v>1</v>
      </c>
      <c r="EQ100" s="28">
        <v>2</v>
      </c>
      <c r="ER100" s="28">
        <v>2</v>
      </c>
      <c r="ES100" s="28">
        <v>78758</v>
      </c>
      <c r="ET100" s="28">
        <v>2</v>
      </c>
      <c r="EU100" s="28">
        <v>4</v>
      </c>
      <c r="EV100" s="28">
        <v>8</v>
      </c>
      <c r="EW100" s="28">
        <v>5</v>
      </c>
      <c r="EX100" s="28">
        <v>2</v>
      </c>
      <c r="EY100" t="s">
        <v>1278</v>
      </c>
      <c r="EZ100" t="s">
        <v>1279</v>
      </c>
      <c r="FB100" t="s">
        <v>1280</v>
      </c>
      <c r="FC100" t="s">
        <v>1281</v>
      </c>
      <c r="FD100" s="29" t="e">
        <v>#NULL!</v>
      </c>
      <c r="FE100" s="29" t="e">
        <v>#NULL!</v>
      </c>
      <c r="FF100" s="28">
        <v>3</v>
      </c>
      <c r="FH100" t="s">
        <v>1282</v>
      </c>
      <c r="FI100" t="s">
        <v>1283</v>
      </c>
    </row>
    <row r="101" spans="1:165" x14ac:dyDescent="0.15">
      <c r="A101" s="28">
        <v>603</v>
      </c>
      <c r="B101" s="28">
        <v>1</v>
      </c>
      <c r="C101" s="28">
        <v>2</v>
      </c>
      <c r="D101" s="28">
        <v>1</v>
      </c>
      <c r="E101" s="29" t="e">
        <v>#NULL!</v>
      </c>
      <c r="F101" s="28">
        <v>2</v>
      </c>
      <c r="G101" s="28">
        <v>2</v>
      </c>
      <c r="H101" s="28">
        <v>4</v>
      </c>
      <c r="I101" t="s">
        <v>1284</v>
      </c>
      <c r="J101" s="28">
        <v>2</v>
      </c>
      <c r="K101" s="28">
        <v>99</v>
      </c>
      <c r="N101" t="s">
        <v>1284</v>
      </c>
      <c r="O101" t="s">
        <v>1285</v>
      </c>
      <c r="P101" s="28">
        <v>1</v>
      </c>
      <c r="Q101" s="29" t="e">
        <v>#NULL!</v>
      </c>
      <c r="R101" s="29" t="e">
        <v>#NULL!</v>
      </c>
      <c r="S101" s="29" t="e">
        <v>#NULL!</v>
      </c>
      <c r="T101" s="28">
        <v>1</v>
      </c>
      <c r="U101" s="28">
        <v>1</v>
      </c>
      <c r="V101" s="28">
        <v>1</v>
      </c>
      <c r="W101" s="28">
        <v>1</v>
      </c>
      <c r="X101" t="s">
        <v>627</v>
      </c>
      <c r="Y101" s="29" t="e">
        <v>#NULL!</v>
      </c>
      <c r="Z101" s="29" t="e">
        <v>#NULL!</v>
      </c>
      <c r="AA101" s="29" t="e">
        <v>#NULL!</v>
      </c>
      <c r="AB101" s="29" t="e">
        <v>#NULL!</v>
      </c>
      <c r="AD101" s="29" t="e">
        <v>#NULL!</v>
      </c>
      <c r="AE101" s="29" t="e">
        <v>#NULL!</v>
      </c>
      <c r="AF101" s="29" t="e">
        <v>#NULL!</v>
      </c>
      <c r="AG101" s="29" t="e">
        <v>#NULL!</v>
      </c>
      <c r="AH101" t="s">
        <v>627</v>
      </c>
      <c r="AI101" s="29" t="e">
        <v>#NULL!</v>
      </c>
      <c r="AJ101" s="29" t="e">
        <v>#NULL!</v>
      </c>
      <c r="AK101" s="29" t="e">
        <v>#NULL!</v>
      </c>
      <c r="AL101" s="29" t="e">
        <v>#NULL!</v>
      </c>
      <c r="AN101" s="29" t="e">
        <v>#NULL!</v>
      </c>
      <c r="AO101" s="29" t="e">
        <v>#NULL!</v>
      </c>
      <c r="AP101" s="29" t="e">
        <v>#NULL!</v>
      </c>
      <c r="AQ101" s="29" t="e">
        <v>#NULL!</v>
      </c>
      <c r="AR101" t="s">
        <v>627</v>
      </c>
      <c r="AS101" s="29" t="e">
        <v>#NULL!</v>
      </c>
      <c r="AT101" s="29" t="e">
        <v>#NULL!</v>
      </c>
      <c r="AU101" s="29" t="e">
        <v>#NULL!</v>
      </c>
      <c r="AV101" s="29" t="e">
        <v>#NULL!</v>
      </c>
      <c r="AX101" s="29" t="e">
        <v>#NULL!</v>
      </c>
      <c r="AY101" s="29" t="e">
        <v>#NULL!</v>
      </c>
      <c r="AZ101" s="29" t="e">
        <v>#NULL!</v>
      </c>
      <c r="BA101" s="29" t="e">
        <v>#NULL!</v>
      </c>
      <c r="BB101" t="s">
        <v>627</v>
      </c>
      <c r="BC101" s="29" t="e">
        <v>#NULL!</v>
      </c>
      <c r="BD101" s="29" t="e">
        <v>#NULL!</v>
      </c>
      <c r="BE101" s="29" t="e">
        <v>#NULL!</v>
      </c>
      <c r="BF101" s="29" t="e">
        <v>#NULL!</v>
      </c>
      <c r="BH101" s="29" t="e">
        <v>#NULL!</v>
      </c>
      <c r="BI101" s="29" t="e">
        <v>#NULL!</v>
      </c>
      <c r="BJ101" s="29" t="e">
        <v>#NULL!</v>
      </c>
      <c r="BK101" s="29" t="e">
        <v>#NULL!</v>
      </c>
      <c r="BL101" s="28">
        <v>4</v>
      </c>
      <c r="BM101" s="29" t="e">
        <v>#NULL!</v>
      </c>
      <c r="BO101" s="29" t="e">
        <v>#NULL!</v>
      </c>
      <c r="BP101" s="29" t="e">
        <v>#NULL!</v>
      </c>
      <c r="BQ101" s="29" t="e">
        <v>#NULL!</v>
      </c>
      <c r="BR101" s="29" t="e">
        <v>#NULL!</v>
      </c>
      <c r="BS101" s="29" t="e">
        <v>#NULL!</v>
      </c>
      <c r="BU101" s="29" t="e">
        <v>#NULL!</v>
      </c>
      <c r="BV101" s="29" t="e">
        <v>#NULL!</v>
      </c>
      <c r="BW101" s="29" t="e">
        <v>#NULL!</v>
      </c>
      <c r="BX101" s="28">
        <v>1</v>
      </c>
      <c r="BY101" t="s">
        <v>1286</v>
      </c>
      <c r="BZ101" s="28">
        <v>2</v>
      </c>
      <c r="CA101" s="29" t="e">
        <v>#NULL!</v>
      </c>
      <c r="CB101" s="29" t="e">
        <v>#NULL!</v>
      </c>
      <c r="CC101" s="28">
        <v>1</v>
      </c>
      <c r="CD101" s="28">
        <v>1</v>
      </c>
      <c r="CE101" s="28">
        <v>1</v>
      </c>
      <c r="CF101" s="28">
        <v>2</v>
      </c>
      <c r="CG101" s="29" t="e">
        <v>#NULL!</v>
      </c>
      <c r="CI101" s="29" t="e">
        <v>#NULL!</v>
      </c>
      <c r="CJ101" s="29" t="e">
        <v>#NULL!</v>
      </c>
      <c r="CK101" s="29" t="e">
        <v>#NULL!</v>
      </c>
      <c r="CL101" s="29" t="e">
        <v>#NULL!</v>
      </c>
      <c r="CN101" s="29" t="e">
        <v>#NULL!</v>
      </c>
      <c r="CO101" s="29" t="e">
        <v>#NULL!</v>
      </c>
      <c r="CP101" s="29" t="e">
        <v>#NULL!</v>
      </c>
      <c r="CQ101" s="28">
        <v>2</v>
      </c>
      <c r="CR101" s="29" t="e">
        <v>#NULL!</v>
      </c>
      <c r="CS101" s="28">
        <v>1</v>
      </c>
      <c r="CT101" s="28">
        <v>1</v>
      </c>
      <c r="CU101" s="28">
        <v>1</v>
      </c>
      <c r="CV101" s="28">
        <v>1</v>
      </c>
      <c r="CW101" s="28">
        <v>1</v>
      </c>
      <c r="CX101" s="28">
        <v>1</v>
      </c>
      <c r="CY101" s="28">
        <v>1</v>
      </c>
      <c r="CZ101" t="s">
        <v>1287</v>
      </c>
      <c r="DA101" s="28">
        <v>5</v>
      </c>
      <c r="DB101" s="29" t="e">
        <v>#NULL!</v>
      </c>
      <c r="DC101" s="28">
        <v>1</v>
      </c>
      <c r="DD101" s="28">
        <v>0</v>
      </c>
      <c r="DE101" s="28">
        <v>0</v>
      </c>
      <c r="DF101" s="28">
        <v>0</v>
      </c>
      <c r="DG101" s="28">
        <v>0</v>
      </c>
      <c r="DH101" s="28">
        <v>0</v>
      </c>
      <c r="DI101" s="28">
        <v>0</v>
      </c>
      <c r="DJ101" s="28">
        <v>0</v>
      </c>
      <c r="DK101" s="28">
        <v>0</v>
      </c>
      <c r="DL101" s="28">
        <v>1</v>
      </c>
      <c r="DM101" t="s">
        <v>1288</v>
      </c>
      <c r="DN101" s="28">
        <v>2</v>
      </c>
      <c r="DO101" t="s">
        <v>1289</v>
      </c>
      <c r="DP101" s="28">
        <v>99</v>
      </c>
      <c r="DQ101" s="29" t="e">
        <v>#NULL!</v>
      </c>
      <c r="DR101" s="29" t="e">
        <v>#NULL!</v>
      </c>
      <c r="DT101" s="29" t="e">
        <v>#NULL!</v>
      </c>
      <c r="DU101" s="29" t="e">
        <v>#NULL!</v>
      </c>
      <c r="DV101" s="29" t="e">
        <v>#NULL!</v>
      </c>
      <c r="DW101" s="28">
        <v>1</v>
      </c>
      <c r="DX101" s="28">
        <v>2</v>
      </c>
      <c r="DZ101" s="29" t="e">
        <v>#NULL!</v>
      </c>
      <c r="EA101" s="29" t="e">
        <v>#NULL!</v>
      </c>
      <c r="EI101" s="29" t="e">
        <v>#NULL!</v>
      </c>
      <c r="EJ101" s="29" t="e">
        <v>#NULL!</v>
      </c>
      <c r="EK101" s="29" t="e">
        <v>#NULL!</v>
      </c>
      <c r="EL101" s="29" t="e">
        <v>#NULL!</v>
      </c>
      <c r="EM101" s="28">
        <v>11</v>
      </c>
      <c r="EN101" s="28">
        <v>7</v>
      </c>
      <c r="EP101" s="28">
        <v>7</v>
      </c>
      <c r="EQ101" s="28">
        <v>5</v>
      </c>
      <c r="ER101" s="28">
        <v>3</v>
      </c>
      <c r="ES101" s="28">
        <v>99999</v>
      </c>
      <c r="ET101" s="28">
        <v>7</v>
      </c>
      <c r="EU101" s="28">
        <v>6</v>
      </c>
      <c r="EV101" s="28">
        <v>8</v>
      </c>
      <c r="EW101" s="28">
        <v>6</v>
      </c>
      <c r="EX101" s="28">
        <v>4</v>
      </c>
      <c r="EY101" t="s">
        <v>1290</v>
      </c>
      <c r="EZ101" t="s">
        <v>1291</v>
      </c>
      <c r="FB101" t="s">
        <v>1292</v>
      </c>
      <c r="FC101" t="s">
        <v>1293</v>
      </c>
      <c r="FD101" s="29" t="e">
        <v>#NULL!</v>
      </c>
      <c r="FE101" s="29" t="e">
        <v>#NULL!</v>
      </c>
      <c r="FF101" s="28">
        <v>1</v>
      </c>
      <c r="FH101" t="s">
        <v>1294</v>
      </c>
      <c r="FI101" t="s">
        <v>1295</v>
      </c>
    </row>
    <row r="102" spans="1:165" x14ac:dyDescent="0.15">
      <c r="A102" s="28">
        <v>607</v>
      </c>
      <c r="B102" s="28">
        <v>1</v>
      </c>
      <c r="C102" s="28">
        <v>2</v>
      </c>
      <c r="D102" s="28">
        <v>1</v>
      </c>
      <c r="E102" s="29" t="e">
        <v>#NULL!</v>
      </c>
      <c r="F102" s="28">
        <v>2</v>
      </c>
      <c r="G102" s="28">
        <v>2</v>
      </c>
      <c r="H102" s="28">
        <v>2</v>
      </c>
      <c r="J102" s="28">
        <v>1</v>
      </c>
      <c r="K102" s="28">
        <v>1</v>
      </c>
      <c r="P102" s="29" t="e">
        <v>#NULL!</v>
      </c>
      <c r="Q102" s="29" t="e">
        <v>#NULL!</v>
      </c>
      <c r="R102" s="29" t="e">
        <v>#NULL!</v>
      </c>
      <c r="S102" s="28">
        <v>10</v>
      </c>
      <c r="T102" s="28">
        <v>10</v>
      </c>
      <c r="U102" s="28">
        <v>8</v>
      </c>
      <c r="V102" s="28">
        <v>8</v>
      </c>
      <c r="W102" s="28">
        <v>10</v>
      </c>
      <c r="Y102" s="29" t="e">
        <v>#NULL!</v>
      </c>
      <c r="Z102" s="29" t="e">
        <v>#NULL!</v>
      </c>
      <c r="AA102" s="29" t="e">
        <v>#NULL!</v>
      </c>
      <c r="AB102" s="29" t="e">
        <v>#NULL!</v>
      </c>
      <c r="AC102" t="s">
        <v>1296</v>
      </c>
      <c r="AD102" s="28">
        <v>3</v>
      </c>
      <c r="AE102" s="29" t="e">
        <v>#NULL!</v>
      </c>
      <c r="AF102" s="29" t="e">
        <v>#NULL!</v>
      </c>
      <c r="AG102" s="29" t="e">
        <v>#NULL!</v>
      </c>
      <c r="AI102" s="29" t="e">
        <v>#NULL!</v>
      </c>
      <c r="AJ102" s="29" t="e">
        <v>#NULL!</v>
      </c>
      <c r="AK102" s="29" t="e">
        <v>#NULL!</v>
      </c>
      <c r="AL102" s="29" t="e">
        <v>#NULL!</v>
      </c>
      <c r="AM102" t="s">
        <v>1296</v>
      </c>
      <c r="AN102" s="28">
        <v>3</v>
      </c>
      <c r="AO102" s="29" t="e">
        <v>#NULL!</v>
      </c>
      <c r="AP102" s="29" t="e">
        <v>#NULL!</v>
      </c>
      <c r="AQ102" s="29" t="e">
        <v>#NULL!</v>
      </c>
      <c r="AS102" s="29" t="e">
        <v>#NULL!</v>
      </c>
      <c r="AT102" s="29" t="e">
        <v>#NULL!</v>
      </c>
      <c r="AU102" s="29" t="e">
        <v>#NULL!</v>
      </c>
      <c r="AV102" s="29" t="e">
        <v>#NULL!</v>
      </c>
      <c r="AW102" t="s">
        <v>1296</v>
      </c>
      <c r="AX102" s="28">
        <v>3</v>
      </c>
      <c r="AY102" s="29" t="e">
        <v>#NULL!</v>
      </c>
      <c r="AZ102" s="29" t="e">
        <v>#NULL!</v>
      </c>
      <c r="BA102" s="29" t="e">
        <v>#NULL!</v>
      </c>
      <c r="BC102" s="29" t="e">
        <v>#NULL!</v>
      </c>
      <c r="BD102" s="29" t="e">
        <v>#NULL!</v>
      </c>
      <c r="BE102" s="29" t="e">
        <v>#NULL!</v>
      </c>
      <c r="BF102" s="29" t="e">
        <v>#NULL!</v>
      </c>
      <c r="BG102" t="s">
        <v>1296</v>
      </c>
      <c r="BH102" s="28">
        <v>3</v>
      </c>
      <c r="BI102" s="29" t="e">
        <v>#NULL!</v>
      </c>
      <c r="BJ102" s="29" t="e">
        <v>#NULL!</v>
      </c>
      <c r="BK102" s="29" t="e">
        <v>#NULL!</v>
      </c>
      <c r="BL102" s="28">
        <v>2</v>
      </c>
      <c r="BM102" s="28">
        <v>4</v>
      </c>
      <c r="BN102" t="s">
        <v>1297</v>
      </c>
      <c r="BO102" s="28">
        <v>98</v>
      </c>
      <c r="BP102" s="29" t="e">
        <v>#NULL!</v>
      </c>
      <c r="BQ102" s="29" t="e">
        <v>#NULL!</v>
      </c>
      <c r="BR102" s="29" t="e">
        <v>#NULL!</v>
      </c>
      <c r="BS102" s="28">
        <v>10</v>
      </c>
      <c r="BT102" t="s">
        <v>403</v>
      </c>
      <c r="BU102" s="28">
        <v>98</v>
      </c>
      <c r="BV102" s="29" t="e">
        <v>#NULL!</v>
      </c>
      <c r="BW102" s="29" t="e">
        <v>#NULL!</v>
      </c>
      <c r="BX102" s="29" t="e">
        <v>#NULL!</v>
      </c>
      <c r="BZ102" s="29" t="e">
        <v>#NULL!</v>
      </c>
      <c r="CA102" s="29" t="e">
        <v>#NULL!</v>
      </c>
      <c r="CB102" s="29" t="e">
        <v>#NULL!</v>
      </c>
      <c r="CC102" s="28">
        <v>2</v>
      </c>
      <c r="CD102" s="29" t="e">
        <v>#NULL!</v>
      </c>
      <c r="CE102" s="28">
        <v>2</v>
      </c>
      <c r="CF102" s="29" t="e">
        <v>#NULL!</v>
      </c>
      <c r="CG102" s="29" t="e">
        <v>#NULL!</v>
      </c>
      <c r="CI102" s="29" t="e">
        <v>#NULL!</v>
      </c>
      <c r="CJ102" s="29" t="e">
        <v>#NULL!</v>
      </c>
      <c r="CK102" s="29" t="e">
        <v>#NULL!</v>
      </c>
      <c r="CL102" s="29" t="e">
        <v>#NULL!</v>
      </c>
      <c r="CN102" s="29" t="e">
        <v>#NULL!</v>
      </c>
      <c r="CO102" s="29" t="e">
        <v>#NULL!</v>
      </c>
      <c r="CP102" s="29" t="e">
        <v>#NULL!</v>
      </c>
      <c r="CQ102" s="28">
        <v>2</v>
      </c>
      <c r="CR102" s="29" t="e">
        <v>#NULL!</v>
      </c>
      <c r="CS102" s="28">
        <v>10</v>
      </c>
      <c r="CT102" s="28">
        <v>10</v>
      </c>
      <c r="CU102" s="28">
        <v>10</v>
      </c>
      <c r="CV102" s="28">
        <v>10</v>
      </c>
      <c r="CW102" s="28">
        <v>10</v>
      </c>
      <c r="CX102" s="28">
        <v>10</v>
      </c>
      <c r="CY102" s="28">
        <v>10</v>
      </c>
      <c r="DA102" s="29" t="e">
        <v>#NULL!</v>
      </c>
      <c r="DB102" s="29" t="e">
        <v>#NULL!</v>
      </c>
      <c r="DC102" s="28">
        <v>10</v>
      </c>
      <c r="DD102" s="29" t="e">
        <v>#NULL!</v>
      </c>
      <c r="DE102" s="29" t="e">
        <v>#NULL!</v>
      </c>
      <c r="DF102" s="29" t="e">
        <v>#NULL!</v>
      </c>
      <c r="DG102" s="29" t="e">
        <v>#NULL!</v>
      </c>
      <c r="DH102" s="29" t="e">
        <v>#NULL!</v>
      </c>
      <c r="DI102" s="29" t="e">
        <v>#NULL!</v>
      </c>
      <c r="DJ102" s="29" t="e">
        <v>#NULL!</v>
      </c>
      <c r="DK102" s="29" t="e">
        <v>#NULL!</v>
      </c>
      <c r="DL102" s="29" t="e">
        <v>#NULL!</v>
      </c>
      <c r="DN102" s="28">
        <v>1</v>
      </c>
      <c r="DP102" s="29" t="e">
        <v>#NULL!</v>
      </c>
      <c r="DQ102" s="29" t="e">
        <v>#NULL!</v>
      </c>
      <c r="DR102" s="29" t="e">
        <v>#NULL!</v>
      </c>
      <c r="DT102" s="29" t="e">
        <v>#NULL!</v>
      </c>
      <c r="DU102" s="29" t="e">
        <v>#NULL!</v>
      </c>
      <c r="DV102" s="29" t="e">
        <v>#NULL!</v>
      </c>
      <c r="DW102" s="28">
        <v>3</v>
      </c>
      <c r="DX102" s="28">
        <v>2</v>
      </c>
      <c r="DZ102" s="29" t="e">
        <v>#NULL!</v>
      </c>
      <c r="EA102" s="29" t="e">
        <v>#NULL!</v>
      </c>
      <c r="EI102" s="29" t="e">
        <v>#NULL!</v>
      </c>
      <c r="EJ102" s="29" t="e">
        <v>#NULL!</v>
      </c>
      <c r="EK102" s="29" t="e">
        <v>#NULL!</v>
      </c>
      <c r="EL102" s="29" t="e">
        <v>#NULL!</v>
      </c>
      <c r="EM102" s="28">
        <v>7</v>
      </c>
      <c r="EN102" s="28">
        <v>1</v>
      </c>
      <c r="EP102" s="28">
        <v>1</v>
      </c>
      <c r="EQ102" s="28">
        <v>2</v>
      </c>
      <c r="ER102" s="28">
        <v>1</v>
      </c>
      <c r="ES102" s="28">
        <v>78732</v>
      </c>
      <c r="ET102" s="28">
        <v>3</v>
      </c>
      <c r="EU102" s="28">
        <v>5</v>
      </c>
      <c r="EV102" s="28">
        <v>5</v>
      </c>
      <c r="EW102" s="28">
        <v>4</v>
      </c>
      <c r="EX102" s="28">
        <v>2</v>
      </c>
      <c r="EY102" t="s">
        <v>931</v>
      </c>
      <c r="EZ102" t="s">
        <v>1298</v>
      </c>
      <c r="FB102" t="s">
        <v>1299</v>
      </c>
      <c r="FC102" t="s">
        <v>1300</v>
      </c>
      <c r="FD102" s="29" t="e">
        <v>#NULL!</v>
      </c>
      <c r="FE102" s="29" t="e">
        <v>#NULL!</v>
      </c>
      <c r="FF102" s="28">
        <v>2</v>
      </c>
      <c r="FH102" t="s">
        <v>1301</v>
      </c>
      <c r="FI102" t="s">
        <v>1302</v>
      </c>
    </row>
    <row r="103" spans="1:165" x14ac:dyDescent="0.15">
      <c r="A103" s="28">
        <v>609</v>
      </c>
      <c r="B103" s="28">
        <v>1</v>
      </c>
      <c r="C103" s="28">
        <v>2</v>
      </c>
      <c r="D103" s="28">
        <v>1</v>
      </c>
      <c r="E103" s="29" t="e">
        <v>#NULL!</v>
      </c>
      <c r="F103" s="28">
        <v>3</v>
      </c>
      <c r="G103" s="28">
        <v>2</v>
      </c>
      <c r="H103" s="28">
        <v>2</v>
      </c>
      <c r="J103" s="28">
        <v>1</v>
      </c>
      <c r="K103" s="28">
        <v>3</v>
      </c>
      <c r="P103" s="29" t="e">
        <v>#NULL!</v>
      </c>
      <c r="Q103" s="29" t="e">
        <v>#NULL!</v>
      </c>
      <c r="R103" s="29" t="e">
        <v>#NULL!</v>
      </c>
      <c r="S103" s="29" t="e">
        <v>#NULL!</v>
      </c>
      <c r="T103" s="28">
        <v>10</v>
      </c>
      <c r="U103" s="28">
        <v>10</v>
      </c>
      <c r="V103" s="28">
        <v>10</v>
      </c>
      <c r="W103" s="28">
        <v>10</v>
      </c>
      <c r="Y103" s="29" t="e">
        <v>#NULL!</v>
      </c>
      <c r="Z103" s="29" t="e">
        <v>#NULL!</v>
      </c>
      <c r="AA103" s="29" t="e">
        <v>#NULL!</v>
      </c>
      <c r="AB103" s="29" t="e">
        <v>#NULL!</v>
      </c>
      <c r="AC103" t="s">
        <v>288</v>
      </c>
      <c r="AD103" s="29" t="e">
        <v>#NULL!</v>
      </c>
      <c r="AE103" s="29" t="e">
        <v>#NULL!</v>
      </c>
      <c r="AF103" s="29" t="e">
        <v>#NULL!</v>
      </c>
      <c r="AG103" s="29" t="e">
        <v>#NULL!</v>
      </c>
      <c r="AI103" s="29" t="e">
        <v>#NULL!</v>
      </c>
      <c r="AJ103" s="29" t="e">
        <v>#NULL!</v>
      </c>
      <c r="AK103" s="29" t="e">
        <v>#NULL!</v>
      </c>
      <c r="AL103" s="29" t="e">
        <v>#NULL!</v>
      </c>
      <c r="AM103" t="s">
        <v>288</v>
      </c>
      <c r="AN103" s="29" t="e">
        <v>#NULL!</v>
      </c>
      <c r="AO103" s="29" t="e">
        <v>#NULL!</v>
      </c>
      <c r="AP103" s="29" t="e">
        <v>#NULL!</v>
      </c>
      <c r="AQ103" s="29" t="e">
        <v>#NULL!</v>
      </c>
      <c r="AS103" s="29" t="e">
        <v>#NULL!</v>
      </c>
      <c r="AT103" s="29" t="e">
        <v>#NULL!</v>
      </c>
      <c r="AU103" s="29" t="e">
        <v>#NULL!</v>
      </c>
      <c r="AV103" s="29" t="e">
        <v>#NULL!</v>
      </c>
      <c r="AW103" t="s">
        <v>288</v>
      </c>
      <c r="AX103" s="29" t="e">
        <v>#NULL!</v>
      </c>
      <c r="AY103" s="29" t="e">
        <v>#NULL!</v>
      </c>
      <c r="AZ103" s="29" t="e">
        <v>#NULL!</v>
      </c>
      <c r="BA103" s="29" t="e">
        <v>#NULL!</v>
      </c>
      <c r="BC103" s="29" t="e">
        <v>#NULL!</v>
      </c>
      <c r="BD103" s="29" t="e">
        <v>#NULL!</v>
      </c>
      <c r="BE103" s="29" t="e">
        <v>#NULL!</v>
      </c>
      <c r="BF103" s="29" t="e">
        <v>#NULL!</v>
      </c>
      <c r="BG103" t="s">
        <v>288</v>
      </c>
      <c r="BH103" s="29" t="e">
        <v>#NULL!</v>
      </c>
      <c r="BI103" s="29" t="e">
        <v>#NULL!</v>
      </c>
      <c r="BJ103" s="29" t="e">
        <v>#NULL!</v>
      </c>
      <c r="BK103" s="29" t="e">
        <v>#NULL!</v>
      </c>
      <c r="BL103" s="28">
        <v>2</v>
      </c>
      <c r="BM103" s="28">
        <v>3</v>
      </c>
      <c r="BN103" t="s">
        <v>1303</v>
      </c>
      <c r="BO103" s="28">
        <v>3</v>
      </c>
      <c r="BP103" s="29" t="e">
        <v>#NULL!</v>
      </c>
      <c r="BQ103" s="29" t="e">
        <v>#NULL!</v>
      </c>
      <c r="BR103" s="29" t="e">
        <v>#NULL!</v>
      </c>
      <c r="BS103" s="28">
        <v>10</v>
      </c>
      <c r="BT103" t="s">
        <v>1304</v>
      </c>
      <c r="BU103" s="28">
        <v>7</v>
      </c>
      <c r="BV103" s="29" t="e">
        <v>#NULL!</v>
      </c>
      <c r="BW103" s="29" t="e">
        <v>#NULL!</v>
      </c>
      <c r="BX103" s="29" t="e">
        <v>#NULL!</v>
      </c>
      <c r="BZ103" s="29" t="e">
        <v>#NULL!</v>
      </c>
      <c r="CA103" s="29" t="e">
        <v>#NULL!</v>
      </c>
      <c r="CB103" s="29" t="e">
        <v>#NULL!</v>
      </c>
      <c r="CC103" s="28">
        <v>1</v>
      </c>
      <c r="CD103" s="28">
        <v>10</v>
      </c>
      <c r="CE103" s="28">
        <v>2</v>
      </c>
      <c r="CF103" s="29" t="e">
        <v>#NULL!</v>
      </c>
      <c r="CG103" s="29" t="e">
        <v>#NULL!</v>
      </c>
      <c r="CI103" s="29" t="e">
        <v>#NULL!</v>
      </c>
      <c r="CJ103" s="29" t="e">
        <v>#NULL!</v>
      </c>
      <c r="CK103" s="29" t="e">
        <v>#NULL!</v>
      </c>
      <c r="CL103" s="29" t="e">
        <v>#NULL!</v>
      </c>
      <c r="CN103" s="29" t="e">
        <v>#NULL!</v>
      </c>
      <c r="CO103" s="29" t="e">
        <v>#NULL!</v>
      </c>
      <c r="CP103" s="29" t="e">
        <v>#NULL!</v>
      </c>
      <c r="CQ103" s="28">
        <v>2</v>
      </c>
      <c r="CR103" s="29" t="e">
        <v>#NULL!</v>
      </c>
      <c r="CS103" s="28">
        <v>10</v>
      </c>
      <c r="CT103" s="28">
        <v>10</v>
      </c>
      <c r="CU103" s="28">
        <v>10</v>
      </c>
      <c r="CV103" s="28">
        <v>10</v>
      </c>
      <c r="CW103" s="28">
        <v>10</v>
      </c>
      <c r="CX103" s="28">
        <v>10</v>
      </c>
      <c r="CY103" s="28">
        <v>10</v>
      </c>
      <c r="DA103" s="29" t="e">
        <v>#NULL!</v>
      </c>
      <c r="DB103" s="29" t="e">
        <v>#NULL!</v>
      </c>
      <c r="DC103" s="28">
        <v>10</v>
      </c>
      <c r="DD103" s="29" t="e">
        <v>#NULL!</v>
      </c>
      <c r="DE103" s="29" t="e">
        <v>#NULL!</v>
      </c>
      <c r="DF103" s="29" t="e">
        <v>#NULL!</v>
      </c>
      <c r="DG103" s="29" t="e">
        <v>#NULL!</v>
      </c>
      <c r="DH103" s="29" t="e">
        <v>#NULL!</v>
      </c>
      <c r="DI103" s="29" t="e">
        <v>#NULL!</v>
      </c>
      <c r="DJ103" s="29" t="e">
        <v>#NULL!</v>
      </c>
      <c r="DK103" s="29" t="e">
        <v>#NULL!</v>
      </c>
      <c r="DL103" s="29" t="e">
        <v>#NULL!</v>
      </c>
      <c r="DN103" s="28">
        <v>1</v>
      </c>
      <c r="DP103" s="29" t="e">
        <v>#NULL!</v>
      </c>
      <c r="DQ103" s="29" t="e">
        <v>#NULL!</v>
      </c>
      <c r="DR103" s="29" t="e">
        <v>#NULL!</v>
      </c>
      <c r="DT103" s="29" t="e">
        <v>#NULL!</v>
      </c>
      <c r="DU103" s="29" t="e">
        <v>#NULL!</v>
      </c>
      <c r="DV103" s="29" t="e">
        <v>#NULL!</v>
      </c>
      <c r="DW103" s="28">
        <v>3</v>
      </c>
      <c r="DX103" s="28">
        <v>3</v>
      </c>
      <c r="DZ103" s="29" t="e">
        <v>#NULL!</v>
      </c>
      <c r="EA103" s="29" t="e">
        <v>#NULL!</v>
      </c>
      <c r="EI103" s="29" t="e">
        <v>#NULL!</v>
      </c>
      <c r="EJ103" s="29" t="e">
        <v>#NULL!</v>
      </c>
      <c r="EK103" s="29" t="e">
        <v>#NULL!</v>
      </c>
      <c r="EL103" s="29" t="e">
        <v>#NULL!</v>
      </c>
      <c r="EM103" s="28">
        <v>9</v>
      </c>
      <c r="EN103" s="28">
        <v>2</v>
      </c>
      <c r="EP103" s="28">
        <v>5</v>
      </c>
      <c r="EQ103" s="28">
        <v>1</v>
      </c>
      <c r="ER103" s="28">
        <v>1</v>
      </c>
      <c r="ES103" s="28">
        <v>78753</v>
      </c>
      <c r="ET103" s="28">
        <v>4</v>
      </c>
      <c r="EU103" s="28">
        <v>4</v>
      </c>
      <c r="EV103" s="28">
        <v>3</v>
      </c>
      <c r="EW103" s="28">
        <v>5</v>
      </c>
      <c r="EX103" s="28">
        <v>1</v>
      </c>
      <c r="EY103" t="s">
        <v>1305</v>
      </c>
      <c r="EZ103" t="s">
        <v>1306</v>
      </c>
      <c r="FB103" t="s">
        <v>1307</v>
      </c>
      <c r="FC103" t="s">
        <v>1308</v>
      </c>
      <c r="FD103" s="29" t="e">
        <v>#NULL!</v>
      </c>
      <c r="FE103" s="29" t="e">
        <v>#NULL!</v>
      </c>
      <c r="FF103" s="28">
        <v>2</v>
      </c>
      <c r="FH103" t="s">
        <v>1309</v>
      </c>
      <c r="FI103" t="s">
        <v>1310</v>
      </c>
    </row>
    <row r="104" spans="1:165" x14ac:dyDescent="0.15">
      <c r="A104" s="28">
        <v>612</v>
      </c>
      <c r="B104" s="28">
        <v>1</v>
      </c>
      <c r="C104" s="28">
        <v>2</v>
      </c>
      <c r="D104" s="28">
        <v>1</v>
      </c>
      <c r="E104" s="29" t="e">
        <v>#NULL!</v>
      </c>
      <c r="F104" s="28">
        <v>2</v>
      </c>
      <c r="G104" s="28">
        <v>2</v>
      </c>
      <c r="H104" s="28">
        <v>4</v>
      </c>
      <c r="I104" t="s">
        <v>809</v>
      </c>
      <c r="J104" s="28">
        <v>2</v>
      </c>
      <c r="K104" s="28">
        <v>38</v>
      </c>
      <c r="N104" t="s">
        <v>1311</v>
      </c>
      <c r="O104" t="s">
        <v>1312</v>
      </c>
      <c r="P104" s="28">
        <v>6</v>
      </c>
      <c r="Q104" s="29" t="e">
        <v>#NULL!</v>
      </c>
      <c r="R104" s="29" t="e">
        <v>#NULL!</v>
      </c>
      <c r="S104" s="29" t="e">
        <v>#NULL!</v>
      </c>
      <c r="T104" s="28">
        <v>2</v>
      </c>
      <c r="U104" s="28">
        <v>3</v>
      </c>
      <c r="V104" s="28">
        <v>2</v>
      </c>
      <c r="W104" s="28">
        <v>2</v>
      </c>
      <c r="X104" t="s">
        <v>1313</v>
      </c>
      <c r="Y104" s="28">
        <v>3</v>
      </c>
      <c r="Z104" s="29" t="e">
        <v>#NULL!</v>
      </c>
      <c r="AA104" s="29" t="e">
        <v>#NULL!</v>
      </c>
      <c r="AB104" s="29" t="e">
        <v>#NULL!</v>
      </c>
      <c r="AD104" s="29" t="e">
        <v>#NULL!</v>
      </c>
      <c r="AE104" s="29" t="e">
        <v>#NULL!</v>
      </c>
      <c r="AF104" s="29" t="e">
        <v>#NULL!</v>
      </c>
      <c r="AG104" s="29" t="e">
        <v>#NULL!</v>
      </c>
      <c r="AH104" t="s">
        <v>1314</v>
      </c>
      <c r="AI104" s="28">
        <v>8</v>
      </c>
      <c r="AJ104" s="29" t="e">
        <v>#NULL!</v>
      </c>
      <c r="AK104" s="29" t="e">
        <v>#NULL!</v>
      </c>
      <c r="AL104" s="29" t="e">
        <v>#NULL!</v>
      </c>
      <c r="AN104" s="29" t="e">
        <v>#NULL!</v>
      </c>
      <c r="AO104" s="29" t="e">
        <v>#NULL!</v>
      </c>
      <c r="AP104" s="29" t="e">
        <v>#NULL!</v>
      </c>
      <c r="AQ104" s="29" t="e">
        <v>#NULL!</v>
      </c>
      <c r="AR104" t="s">
        <v>1315</v>
      </c>
      <c r="AS104" s="28">
        <v>4</v>
      </c>
      <c r="AT104" s="29" t="e">
        <v>#NULL!</v>
      </c>
      <c r="AU104" s="29" t="e">
        <v>#NULL!</v>
      </c>
      <c r="AV104" s="29" t="e">
        <v>#NULL!</v>
      </c>
      <c r="AX104" s="29" t="e">
        <v>#NULL!</v>
      </c>
      <c r="AY104" s="29" t="e">
        <v>#NULL!</v>
      </c>
      <c r="AZ104" s="29" t="e">
        <v>#NULL!</v>
      </c>
      <c r="BA104" s="29" t="e">
        <v>#NULL!</v>
      </c>
      <c r="BB104" t="s">
        <v>1316</v>
      </c>
      <c r="BC104" s="28">
        <v>2</v>
      </c>
      <c r="BD104" s="29" t="e">
        <v>#NULL!</v>
      </c>
      <c r="BE104" s="29" t="e">
        <v>#NULL!</v>
      </c>
      <c r="BF104" s="29" t="e">
        <v>#NULL!</v>
      </c>
      <c r="BH104" s="29" t="e">
        <v>#NULL!</v>
      </c>
      <c r="BI104" s="29" t="e">
        <v>#NULL!</v>
      </c>
      <c r="BJ104" s="29" t="e">
        <v>#NULL!</v>
      </c>
      <c r="BK104" s="29" t="e">
        <v>#NULL!</v>
      </c>
      <c r="BL104" s="28">
        <v>2</v>
      </c>
      <c r="BM104" s="28">
        <v>8</v>
      </c>
      <c r="BN104" t="s">
        <v>1317</v>
      </c>
      <c r="BO104" s="28">
        <v>98</v>
      </c>
      <c r="BP104" s="29" t="e">
        <v>#NULL!</v>
      </c>
      <c r="BQ104" s="29" t="e">
        <v>#NULL!</v>
      </c>
      <c r="BR104" s="29" t="e">
        <v>#NULL!</v>
      </c>
      <c r="BS104" s="28">
        <v>7</v>
      </c>
      <c r="BT104" t="s">
        <v>1318</v>
      </c>
      <c r="BU104" s="28">
        <v>7</v>
      </c>
      <c r="BV104" s="29" t="e">
        <v>#NULL!</v>
      </c>
      <c r="BW104" s="29" t="e">
        <v>#NULL!</v>
      </c>
      <c r="BX104" s="29" t="e">
        <v>#NULL!</v>
      </c>
      <c r="BZ104" s="29" t="e">
        <v>#NULL!</v>
      </c>
      <c r="CA104" s="29" t="e">
        <v>#NULL!</v>
      </c>
      <c r="CB104" s="29" t="e">
        <v>#NULL!</v>
      </c>
      <c r="CC104" s="28">
        <v>2</v>
      </c>
      <c r="CD104" s="29" t="e">
        <v>#NULL!</v>
      </c>
      <c r="CE104" s="28">
        <v>2</v>
      </c>
      <c r="CF104" s="29" t="e">
        <v>#NULL!</v>
      </c>
      <c r="CG104" s="29" t="e">
        <v>#NULL!</v>
      </c>
      <c r="CI104" s="29" t="e">
        <v>#NULL!</v>
      </c>
      <c r="CJ104" s="29" t="e">
        <v>#NULL!</v>
      </c>
      <c r="CK104" s="29" t="e">
        <v>#NULL!</v>
      </c>
      <c r="CL104" s="29" t="e">
        <v>#NULL!</v>
      </c>
      <c r="CN104" s="29" t="e">
        <v>#NULL!</v>
      </c>
      <c r="CO104" s="29" t="e">
        <v>#NULL!</v>
      </c>
      <c r="CP104" s="29" t="e">
        <v>#NULL!</v>
      </c>
      <c r="CQ104" s="28">
        <v>2</v>
      </c>
      <c r="CR104" s="29" t="e">
        <v>#NULL!</v>
      </c>
      <c r="CS104" s="28">
        <v>1</v>
      </c>
      <c r="CT104" s="28">
        <v>1</v>
      </c>
      <c r="CU104" s="28">
        <v>3</v>
      </c>
      <c r="CV104" s="28">
        <v>2</v>
      </c>
      <c r="CW104" s="28">
        <v>1</v>
      </c>
      <c r="CX104" s="28">
        <v>1</v>
      </c>
      <c r="CY104" s="28">
        <v>1</v>
      </c>
      <c r="CZ104" t="s">
        <v>1319</v>
      </c>
      <c r="DA104" s="28">
        <v>5</v>
      </c>
      <c r="DB104" s="29" t="e">
        <v>#NULL!</v>
      </c>
      <c r="DC104" s="28">
        <v>2</v>
      </c>
      <c r="DD104" s="28">
        <v>1</v>
      </c>
      <c r="DE104" s="28">
        <v>1</v>
      </c>
      <c r="DF104" s="28">
        <v>0</v>
      </c>
      <c r="DG104" s="28">
        <v>0</v>
      </c>
      <c r="DH104" s="28">
        <v>1</v>
      </c>
      <c r="DI104" s="28">
        <v>0</v>
      </c>
      <c r="DJ104" s="28">
        <v>0</v>
      </c>
      <c r="DK104" s="28">
        <v>0</v>
      </c>
      <c r="DL104" s="28">
        <v>0</v>
      </c>
      <c r="DN104" s="28">
        <v>2</v>
      </c>
      <c r="DO104" t="s">
        <v>1320</v>
      </c>
      <c r="DP104" s="28">
        <v>1</v>
      </c>
      <c r="DQ104" s="29" t="e">
        <v>#NULL!</v>
      </c>
      <c r="DR104" s="29" t="e">
        <v>#NULL!</v>
      </c>
      <c r="DT104" s="29" t="e">
        <v>#NULL!</v>
      </c>
      <c r="DU104" s="29" t="e">
        <v>#NULL!</v>
      </c>
      <c r="DV104" s="29" t="e">
        <v>#NULL!</v>
      </c>
      <c r="DW104" s="28">
        <v>1</v>
      </c>
      <c r="DX104" s="28">
        <v>2</v>
      </c>
      <c r="DZ104" s="29" t="e">
        <v>#NULL!</v>
      </c>
      <c r="EA104" s="29" t="e">
        <v>#NULL!</v>
      </c>
      <c r="EI104" s="29" t="e">
        <v>#NULL!</v>
      </c>
      <c r="EJ104" s="29" t="e">
        <v>#NULL!</v>
      </c>
      <c r="EK104" s="29" t="e">
        <v>#NULL!</v>
      </c>
      <c r="EL104" s="29" t="e">
        <v>#NULL!</v>
      </c>
      <c r="EM104" s="28">
        <v>6</v>
      </c>
      <c r="EN104" s="28">
        <v>1</v>
      </c>
      <c r="EP104" s="28">
        <v>4</v>
      </c>
      <c r="EQ104" s="28">
        <v>1</v>
      </c>
      <c r="ER104" s="28">
        <v>1</v>
      </c>
      <c r="ES104" s="28">
        <v>78748</v>
      </c>
      <c r="ET104" s="28">
        <v>3</v>
      </c>
      <c r="EU104" s="28">
        <v>1</v>
      </c>
      <c r="EV104" s="28">
        <v>4</v>
      </c>
      <c r="EW104" s="28">
        <v>5</v>
      </c>
      <c r="EX104" s="28">
        <v>2</v>
      </c>
      <c r="EY104" t="s">
        <v>1321</v>
      </c>
      <c r="EZ104" t="s">
        <v>1322</v>
      </c>
      <c r="FB104" t="s">
        <v>1323</v>
      </c>
      <c r="FC104" t="s">
        <v>1324</v>
      </c>
      <c r="FD104" s="29" t="e">
        <v>#NULL!</v>
      </c>
      <c r="FE104" s="29" t="e">
        <v>#NULL!</v>
      </c>
      <c r="FF104" s="28">
        <v>2</v>
      </c>
      <c r="FH104" t="s">
        <v>1325</v>
      </c>
      <c r="FI104" t="s">
        <v>1326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6"/>
  <sheetViews>
    <sheetView showGridLines="0" workbookViewId="0">
      <selection activeCell="E4" sqref="E4"/>
    </sheetView>
  </sheetViews>
  <sheetFormatPr baseColWidth="10" defaultColWidth="12.5" defaultRowHeight="15.75" customHeight="1" x14ac:dyDescent="0.15"/>
  <cols>
    <col min="1" max="1" width="4.5" customWidth="1"/>
    <col min="2" max="2" width="27.33203125" customWidth="1"/>
    <col min="3" max="4" width="29.5" customWidth="1"/>
    <col min="5" max="5" width="26" customWidth="1"/>
  </cols>
  <sheetData>
    <row r="1" spans="1:5" ht="18.75" customHeight="1" x14ac:dyDescent="0.15">
      <c r="A1" s="14"/>
      <c r="B1" s="14"/>
      <c r="C1" s="14"/>
      <c r="D1" s="14"/>
      <c r="E1" s="14"/>
    </row>
    <row r="2" spans="1:5" ht="27" customHeight="1" x14ac:dyDescent="0.15">
      <c r="A2" s="14"/>
      <c r="B2" s="67" t="s">
        <v>59</v>
      </c>
      <c r="C2" s="67"/>
      <c r="D2" s="67"/>
      <c r="E2" s="67"/>
    </row>
    <row r="3" spans="1:5" ht="24" customHeight="1" x14ac:dyDescent="0.15">
      <c r="A3" s="14"/>
      <c r="B3" s="22" t="s">
        <v>10</v>
      </c>
      <c r="C3" s="22" t="s">
        <v>3</v>
      </c>
      <c r="D3" s="22"/>
      <c r="E3" s="22" t="s">
        <v>1359</v>
      </c>
    </row>
    <row r="4" spans="1:5" ht="21.75" customHeight="1" x14ac:dyDescent="0.15">
      <c r="A4" s="14"/>
      <c r="B4" s="17" t="s">
        <v>14</v>
      </c>
      <c r="C4" s="17" t="s">
        <v>36</v>
      </c>
      <c r="D4" s="34" t="s">
        <v>1337</v>
      </c>
      <c r="E4" s="36" t="s">
        <v>1337</v>
      </c>
    </row>
    <row r="5" spans="1:5" ht="21.75" customHeight="1" x14ac:dyDescent="0.15">
      <c r="A5" s="14"/>
      <c r="B5" s="17" t="s">
        <v>20</v>
      </c>
      <c r="C5" s="17" t="s">
        <v>15</v>
      </c>
      <c r="D5" s="35" t="s">
        <v>0</v>
      </c>
      <c r="E5" s="36" t="s">
        <v>1336</v>
      </c>
    </row>
    <row r="6" spans="1:5" ht="21.75" customHeight="1" x14ac:dyDescent="0.15">
      <c r="A6" s="14"/>
      <c r="B6" s="17" t="s">
        <v>25</v>
      </c>
      <c r="C6" s="17" t="s">
        <v>26</v>
      </c>
      <c r="D6" s="35" t="s">
        <v>60</v>
      </c>
      <c r="E6" s="36" t="s">
        <v>1335</v>
      </c>
    </row>
    <row r="7" spans="1:5" ht="21.75" customHeight="1" x14ac:dyDescent="0.15">
      <c r="A7" s="14"/>
      <c r="B7" s="17"/>
      <c r="C7" s="17" t="s">
        <v>49</v>
      </c>
      <c r="D7" s="35" t="s">
        <v>61</v>
      </c>
      <c r="E7" s="36" t="s">
        <v>1334</v>
      </c>
    </row>
    <row r="8" spans="1:5" ht="21.75" customHeight="1" x14ac:dyDescent="0.15">
      <c r="A8" s="14"/>
      <c r="B8" s="17"/>
      <c r="C8" s="17" t="s">
        <v>31</v>
      </c>
      <c r="D8" s="35" t="s">
        <v>62</v>
      </c>
      <c r="E8" s="36" t="s">
        <v>1344</v>
      </c>
    </row>
    <row r="9" spans="1:5" ht="21.75" customHeight="1" x14ac:dyDescent="0.15">
      <c r="A9" s="14"/>
      <c r="B9" s="14"/>
      <c r="C9" s="14"/>
      <c r="D9" s="35" t="s">
        <v>63</v>
      </c>
      <c r="E9" s="36" t="s">
        <v>1357</v>
      </c>
    </row>
    <row r="10" spans="1:5" ht="21.75" customHeight="1" x14ac:dyDescent="0.15">
      <c r="A10" s="14"/>
      <c r="B10" s="14"/>
      <c r="C10" s="14"/>
      <c r="D10" s="35" t="s">
        <v>64</v>
      </c>
      <c r="E10" s="36" t="s">
        <v>1358</v>
      </c>
    </row>
    <row r="11" spans="1:5" ht="21.75" customHeight="1" x14ac:dyDescent="0.15">
      <c r="A11" s="14"/>
      <c r="B11" s="14"/>
      <c r="C11" s="14"/>
      <c r="D11" s="35" t="s">
        <v>65</v>
      </c>
      <c r="E11" s="36"/>
    </row>
    <row r="12" spans="1:5" ht="21.75" customHeight="1" x14ac:dyDescent="0.15">
      <c r="A12" s="14"/>
      <c r="B12" s="14"/>
      <c r="C12" s="14"/>
      <c r="D12" s="35" t="s">
        <v>66</v>
      </c>
      <c r="E12" s="36"/>
    </row>
    <row r="13" spans="1:5" ht="21.75" customHeight="1" x14ac:dyDescent="0.15">
      <c r="A13" s="14"/>
      <c r="B13" s="14"/>
      <c r="C13" s="14"/>
      <c r="D13" s="35" t="s">
        <v>67</v>
      </c>
      <c r="E13" s="36"/>
    </row>
    <row r="14" spans="1:5" ht="21.75" customHeight="1" x14ac:dyDescent="0.15">
      <c r="A14" s="14"/>
      <c r="B14" s="14"/>
      <c r="C14" s="14"/>
      <c r="D14" s="35" t="s">
        <v>68</v>
      </c>
      <c r="E14" s="36"/>
    </row>
    <row r="15" spans="1:5" ht="21.75" customHeight="1" x14ac:dyDescent="0.15">
      <c r="A15" s="14"/>
      <c r="B15" s="14"/>
      <c r="C15" s="14"/>
      <c r="D15" s="35" t="s">
        <v>69</v>
      </c>
      <c r="E15" s="36"/>
    </row>
    <row r="16" spans="1:5" ht="21.75" customHeight="1" x14ac:dyDescent="0.15">
      <c r="A16" s="14"/>
      <c r="B16" s="14"/>
      <c r="C16" s="14"/>
      <c r="D16" s="34" t="s">
        <v>1337</v>
      </c>
      <c r="E16" s="36"/>
    </row>
  </sheetData>
  <mergeCells count="1">
    <mergeCell ref="B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8C2E-EAD4-4746-8831-7D954569E461}">
  <dimension ref="A1:B1"/>
  <sheetViews>
    <sheetView workbookViewId="0">
      <selection activeCell="B1" sqref="B1"/>
    </sheetView>
  </sheetViews>
  <sheetFormatPr baseColWidth="10" defaultRowHeight="13" x14ac:dyDescent="0.15"/>
  <cols>
    <col min="1" max="1" width="22.33203125" customWidth="1"/>
  </cols>
  <sheetData>
    <row r="1" spans="1:2" x14ac:dyDescent="0.15">
      <c r="A1" s="31" t="s">
        <v>1356</v>
      </c>
      <c r="B1" t="s">
        <v>1337</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1840B4D-AB42-884B-A9A9-0266797B5947}">
          <x14:formula1>
            <xm:f>Setup!$E$4:$E$10</xm:f>
          </x14:formula1>
          <xm:sqref>B1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showGridLines="0" workbookViewId="0"/>
  </sheetViews>
  <sheetFormatPr baseColWidth="10" defaultColWidth="12.5" defaultRowHeight="15.75" customHeight="1" x14ac:dyDescent="0.15"/>
  <cols>
    <col min="1" max="1" width="4.83203125" customWidth="1"/>
    <col min="2" max="2" width="22.6640625" customWidth="1"/>
    <col min="3" max="3" width="18.83203125" customWidth="1"/>
    <col min="4" max="4" width="3.5" customWidth="1"/>
    <col min="5" max="5" width="22" customWidth="1"/>
    <col min="6" max="27" width="18.83203125" customWidth="1"/>
  </cols>
  <sheetData>
    <row r="1" spans="1:27" ht="21" customHeight="1" x14ac:dyDescent="0.15">
      <c r="A1" s="23"/>
      <c r="B1" s="23"/>
      <c r="C1" s="23"/>
      <c r="D1" s="23"/>
      <c r="E1" s="23"/>
      <c r="F1" s="23"/>
      <c r="G1" s="23"/>
      <c r="H1" s="23"/>
      <c r="I1" s="23"/>
      <c r="J1" s="23"/>
      <c r="K1" s="23"/>
      <c r="L1" s="23"/>
      <c r="M1" s="23"/>
      <c r="N1" s="23"/>
      <c r="O1" s="23"/>
      <c r="P1" s="23"/>
      <c r="Q1" s="23"/>
      <c r="R1" s="23"/>
      <c r="S1" s="23"/>
      <c r="T1" s="23"/>
      <c r="U1" s="23"/>
      <c r="V1" s="23"/>
      <c r="W1" s="23"/>
      <c r="X1" s="23"/>
      <c r="Y1" s="23"/>
      <c r="Z1" s="23"/>
      <c r="AA1" s="23"/>
    </row>
    <row r="2" spans="1:27" ht="27.75" customHeight="1" x14ac:dyDescent="0.15">
      <c r="A2" s="23"/>
      <c r="B2" s="68" t="s">
        <v>10</v>
      </c>
      <c r="C2" s="69"/>
      <c r="D2" s="23"/>
      <c r="E2" s="68" t="s">
        <v>3</v>
      </c>
      <c r="F2" s="69"/>
      <c r="G2" s="23"/>
      <c r="H2" s="23"/>
      <c r="I2" s="23"/>
      <c r="J2" s="23"/>
      <c r="K2" s="23"/>
      <c r="L2" s="23"/>
      <c r="M2" s="23"/>
      <c r="N2" s="23"/>
      <c r="O2" s="23"/>
      <c r="P2" s="23"/>
      <c r="Q2" s="23"/>
      <c r="R2" s="23"/>
      <c r="S2" s="23"/>
      <c r="T2" s="23"/>
      <c r="U2" s="23"/>
      <c r="V2" s="23"/>
      <c r="W2" s="23"/>
      <c r="X2" s="23"/>
      <c r="Y2" s="23"/>
      <c r="Z2" s="23"/>
      <c r="AA2" s="23"/>
    </row>
    <row r="3" spans="1:27" ht="21" customHeight="1" x14ac:dyDescent="0.15">
      <c r="A3" s="23"/>
      <c r="B3" s="24" t="s">
        <v>14</v>
      </c>
      <c r="C3" s="24">
        <f>COUNTIF('Customers Data'!I4:I1000, "Less than 1 hour")</f>
        <v>6</v>
      </c>
      <c r="D3" s="23"/>
      <c r="E3" s="24" t="s">
        <v>36</v>
      </c>
      <c r="F3" s="24">
        <f>COUNTIF('Customers Data'!J4:J1000, "Very Satisfied")</f>
        <v>3</v>
      </c>
      <c r="G3" s="23"/>
      <c r="H3" s="23"/>
      <c r="I3" s="23"/>
      <c r="J3" s="23"/>
      <c r="K3" s="23"/>
      <c r="L3" s="23"/>
      <c r="M3" s="23"/>
      <c r="N3" s="23"/>
      <c r="O3" s="23"/>
      <c r="P3" s="23"/>
      <c r="Q3" s="23"/>
      <c r="R3" s="23"/>
      <c r="S3" s="23"/>
      <c r="T3" s="23"/>
      <c r="U3" s="23"/>
      <c r="V3" s="23"/>
      <c r="W3" s="23"/>
      <c r="X3" s="23"/>
      <c r="Y3" s="23"/>
      <c r="Z3" s="23"/>
      <c r="AA3" s="23"/>
    </row>
    <row r="4" spans="1:27" ht="21" customHeight="1" x14ac:dyDescent="0.15">
      <c r="A4" s="23"/>
      <c r="B4" s="24" t="s">
        <v>20</v>
      </c>
      <c r="C4" s="24">
        <f>COUNTIF('Customers Data'!I4:I1000, "1-2 hours")</f>
        <v>3</v>
      </c>
      <c r="D4" s="23"/>
      <c r="E4" s="24" t="s">
        <v>15</v>
      </c>
      <c r="F4" s="24">
        <f>COUNTIF('Customers Data'!J4:J1000, "Neutral")</f>
        <v>3</v>
      </c>
      <c r="G4" s="23"/>
      <c r="H4" s="23"/>
      <c r="I4" s="23"/>
      <c r="J4" s="23"/>
      <c r="K4" s="23"/>
      <c r="L4" s="23"/>
      <c r="M4" s="23"/>
      <c r="N4" s="23"/>
      <c r="O4" s="23"/>
      <c r="P4" s="23"/>
      <c r="Q4" s="23"/>
      <c r="R4" s="23"/>
      <c r="S4" s="23"/>
      <c r="T4" s="23"/>
      <c r="U4" s="23"/>
      <c r="V4" s="23"/>
      <c r="W4" s="23"/>
      <c r="X4" s="23"/>
      <c r="Y4" s="23"/>
      <c r="Z4" s="23"/>
      <c r="AA4" s="23"/>
    </row>
    <row r="5" spans="1:27" ht="21" customHeight="1" x14ac:dyDescent="0.15">
      <c r="A5" s="23"/>
      <c r="B5" s="24" t="s">
        <v>25</v>
      </c>
      <c r="C5" s="24">
        <f>COUNTIF('Customers Data'!I4:I1000, "More than 2 hours")</f>
        <v>1</v>
      </c>
      <c r="D5" s="23"/>
      <c r="E5" s="24" t="s">
        <v>26</v>
      </c>
      <c r="F5" s="24">
        <f>COUNTIF('Customers Data'!J4:J1000, "Very Unsatisfied")</f>
        <v>1</v>
      </c>
      <c r="G5" s="23"/>
      <c r="H5" s="23"/>
      <c r="I5" s="23"/>
      <c r="J5" s="23"/>
      <c r="K5" s="23"/>
      <c r="L5" s="23"/>
      <c r="M5" s="23"/>
      <c r="N5" s="23"/>
      <c r="O5" s="23"/>
      <c r="P5" s="23"/>
      <c r="Q5" s="23"/>
      <c r="R5" s="23"/>
      <c r="S5" s="23"/>
      <c r="T5" s="23"/>
      <c r="U5" s="23"/>
      <c r="V5" s="23"/>
      <c r="W5" s="23"/>
      <c r="X5" s="23"/>
      <c r="Y5" s="23"/>
      <c r="Z5" s="23"/>
      <c r="AA5" s="23"/>
    </row>
    <row r="6" spans="1:27" ht="21" customHeight="1" x14ac:dyDescent="0.15">
      <c r="A6" s="23"/>
      <c r="B6" s="23"/>
      <c r="C6" s="23"/>
      <c r="D6" s="23"/>
      <c r="E6" s="24" t="s">
        <v>49</v>
      </c>
      <c r="F6" s="24">
        <f>COUNTIF('Customers Data'!J4:J1000, "Satisfied")</f>
        <v>2</v>
      </c>
      <c r="G6" s="23"/>
      <c r="H6" s="23"/>
      <c r="I6" s="23"/>
      <c r="J6" s="23"/>
      <c r="K6" s="23"/>
      <c r="L6" s="23"/>
      <c r="M6" s="23"/>
      <c r="N6" s="23"/>
      <c r="O6" s="23"/>
      <c r="P6" s="23"/>
      <c r="Q6" s="23"/>
      <c r="R6" s="23"/>
      <c r="S6" s="23"/>
      <c r="T6" s="23"/>
      <c r="U6" s="23"/>
      <c r="V6" s="23"/>
      <c r="W6" s="23"/>
      <c r="X6" s="23"/>
      <c r="Y6" s="23"/>
      <c r="Z6" s="23"/>
      <c r="AA6" s="23"/>
    </row>
    <row r="7" spans="1:27" ht="21" customHeight="1" x14ac:dyDescent="0.15">
      <c r="A7" s="23"/>
      <c r="B7" s="23"/>
      <c r="C7" s="23"/>
      <c r="D7" s="23"/>
      <c r="E7" s="24" t="s">
        <v>31</v>
      </c>
      <c r="F7" s="24">
        <f>COUNTIF('Customers Data'!J4:J1000, "Unsatisfied")</f>
        <v>1</v>
      </c>
      <c r="G7" s="23"/>
      <c r="H7" s="23"/>
      <c r="I7" s="23"/>
      <c r="J7" s="23"/>
      <c r="K7" s="23"/>
      <c r="L7" s="23"/>
      <c r="M7" s="23"/>
      <c r="N7" s="23"/>
      <c r="O7" s="23"/>
      <c r="P7" s="23"/>
      <c r="Q7" s="23"/>
      <c r="R7" s="23"/>
      <c r="S7" s="23"/>
      <c r="T7" s="23"/>
      <c r="U7" s="23"/>
      <c r="V7" s="23"/>
      <c r="W7" s="23"/>
      <c r="X7" s="23"/>
      <c r="Y7" s="23"/>
      <c r="Z7" s="23"/>
      <c r="AA7" s="23"/>
    </row>
    <row r="8" spans="1:27" ht="21" customHeight="1" x14ac:dyDescent="0.15">
      <c r="A8" s="23"/>
      <c r="B8" s="23"/>
      <c r="C8" s="23"/>
      <c r="D8" s="23"/>
      <c r="E8" s="23"/>
      <c r="F8" s="23"/>
      <c r="G8" s="23"/>
      <c r="H8" s="23"/>
      <c r="I8" s="23"/>
      <c r="J8" s="23"/>
      <c r="K8" s="23"/>
      <c r="L8" s="23"/>
      <c r="M8" s="23"/>
      <c r="N8" s="23"/>
      <c r="O8" s="23"/>
      <c r="P8" s="23"/>
      <c r="Q8" s="23"/>
      <c r="R8" s="23"/>
      <c r="S8" s="23"/>
      <c r="T8" s="23"/>
      <c r="U8" s="23"/>
      <c r="V8" s="23"/>
      <c r="W8" s="23"/>
      <c r="X8" s="23"/>
      <c r="Y8" s="23"/>
      <c r="Z8" s="23"/>
      <c r="AA8" s="23"/>
    </row>
    <row r="9" spans="1:27" ht="21" customHeight="1" x14ac:dyDescent="0.15">
      <c r="A9" s="23"/>
      <c r="B9" s="23"/>
      <c r="C9" s="23"/>
      <c r="D9" s="23"/>
      <c r="E9" s="23"/>
      <c r="F9" s="23"/>
      <c r="G9" s="23"/>
      <c r="H9" s="23"/>
      <c r="I9" s="23"/>
      <c r="J9" s="23"/>
      <c r="K9" s="23"/>
      <c r="L9" s="23"/>
      <c r="M9" s="23"/>
      <c r="N9" s="23"/>
      <c r="O9" s="23"/>
      <c r="P9" s="23"/>
      <c r="Q9" s="23"/>
      <c r="R9" s="23"/>
      <c r="S9" s="23"/>
      <c r="T9" s="23"/>
      <c r="U9" s="23"/>
      <c r="V9" s="23"/>
      <c r="W9" s="23"/>
      <c r="X9" s="23"/>
      <c r="Y9" s="23"/>
      <c r="Z9" s="23"/>
      <c r="AA9" s="23"/>
    </row>
    <row r="10" spans="1:27" ht="21" customHeight="1" x14ac:dyDescent="0.1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row>
    <row r="11" spans="1:27" ht="21" customHeight="1" x14ac:dyDescent="0.1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row>
    <row r="12" spans="1:27" ht="21" customHeight="1" x14ac:dyDescent="0.1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row>
    <row r="13" spans="1:27" ht="21" customHeight="1" x14ac:dyDescent="0.1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row>
    <row r="14" spans="1:27" ht="21" customHeight="1" x14ac:dyDescent="0.1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row>
    <row r="15" spans="1:27" ht="21" customHeight="1" x14ac:dyDescent="0.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row>
    <row r="16" spans="1:27" ht="21" customHeight="1" x14ac:dyDescent="0.15">
      <c r="A16" s="23"/>
      <c r="B16" s="68" t="s">
        <v>3</v>
      </c>
      <c r="C16" s="69"/>
      <c r="D16" s="23"/>
      <c r="E16" s="23"/>
      <c r="F16" s="23"/>
      <c r="G16" s="23"/>
      <c r="H16" s="23"/>
      <c r="I16" s="23"/>
      <c r="J16" s="23"/>
      <c r="K16" s="23"/>
      <c r="L16" s="23"/>
      <c r="M16" s="23"/>
      <c r="N16" s="23"/>
      <c r="O16" s="23"/>
      <c r="P16" s="23"/>
      <c r="Q16" s="23"/>
      <c r="R16" s="23"/>
      <c r="S16" s="23"/>
      <c r="T16" s="23"/>
      <c r="U16" s="23"/>
      <c r="V16" s="23"/>
      <c r="W16" s="23"/>
      <c r="X16" s="23"/>
      <c r="Y16" s="23"/>
      <c r="Z16" s="23"/>
      <c r="AA16" s="23"/>
    </row>
    <row r="17" spans="1:27" ht="21" customHeight="1" x14ac:dyDescent="0.15">
      <c r="A17" s="23"/>
      <c r="B17" s="24" t="s">
        <v>36</v>
      </c>
      <c r="C17" s="24">
        <f>COUNTIF(Dashboard!E21:E34, "Very Satisfied")</f>
        <v>0</v>
      </c>
      <c r="D17" s="23"/>
      <c r="E17" s="23"/>
      <c r="F17" s="23"/>
      <c r="G17" s="23"/>
      <c r="H17" s="23"/>
      <c r="I17" s="23"/>
      <c r="J17" s="23"/>
      <c r="K17" s="23"/>
      <c r="L17" s="23"/>
      <c r="M17" s="23"/>
      <c r="N17" s="23"/>
      <c r="O17" s="23"/>
      <c r="P17" s="23"/>
      <c r="Q17" s="23"/>
      <c r="R17" s="23"/>
      <c r="S17" s="23"/>
      <c r="T17" s="23"/>
      <c r="U17" s="23"/>
      <c r="V17" s="23"/>
      <c r="W17" s="23"/>
      <c r="X17" s="23"/>
      <c r="Y17" s="23"/>
      <c r="Z17" s="23"/>
      <c r="AA17" s="23"/>
    </row>
    <row r="18" spans="1:27" ht="21" customHeight="1" x14ac:dyDescent="0.15">
      <c r="A18" s="23"/>
      <c r="B18" s="24" t="s">
        <v>15</v>
      </c>
      <c r="C18" s="24">
        <f>COUNTIF(Dashboard!E21:E34, "Neutral")</f>
        <v>0</v>
      </c>
      <c r="D18" s="23"/>
      <c r="E18" s="23"/>
      <c r="F18" s="23"/>
      <c r="G18" s="23"/>
      <c r="H18" s="23"/>
      <c r="I18" s="23"/>
      <c r="J18" s="23"/>
      <c r="K18" s="23"/>
      <c r="L18" s="23"/>
      <c r="M18" s="23"/>
      <c r="N18" s="23"/>
      <c r="O18" s="23"/>
      <c r="P18" s="23"/>
      <c r="Q18" s="23"/>
      <c r="R18" s="23"/>
      <c r="S18" s="23"/>
      <c r="T18" s="23"/>
      <c r="U18" s="23"/>
      <c r="V18" s="23"/>
      <c r="W18" s="23"/>
      <c r="X18" s="23"/>
      <c r="Y18" s="23"/>
      <c r="Z18" s="23"/>
      <c r="AA18" s="23"/>
    </row>
    <row r="19" spans="1:27" ht="21" customHeight="1" x14ac:dyDescent="0.15">
      <c r="A19" s="23"/>
      <c r="B19" s="24" t="s">
        <v>26</v>
      </c>
      <c r="C19" s="24">
        <f>COUNTIF(Dashboard!E21:E34, "Very Unsatisfied")</f>
        <v>0</v>
      </c>
      <c r="D19" s="23"/>
      <c r="E19" s="23"/>
      <c r="F19" s="23"/>
      <c r="G19" s="23"/>
      <c r="H19" s="23"/>
      <c r="I19" s="23"/>
      <c r="J19" s="23"/>
      <c r="K19" s="23"/>
      <c r="L19" s="23"/>
      <c r="M19" s="23"/>
      <c r="N19" s="23"/>
      <c r="O19" s="23"/>
      <c r="P19" s="23"/>
      <c r="Q19" s="23"/>
      <c r="R19" s="23"/>
      <c r="S19" s="23"/>
      <c r="T19" s="23"/>
      <c r="U19" s="23"/>
      <c r="V19" s="23"/>
      <c r="W19" s="23"/>
      <c r="X19" s="23"/>
      <c r="Y19" s="23"/>
      <c r="Z19" s="23"/>
      <c r="AA19" s="23"/>
    </row>
    <row r="20" spans="1:27" ht="21" customHeight="1" x14ac:dyDescent="0.15">
      <c r="A20" s="23"/>
      <c r="B20" s="24" t="s">
        <v>49</v>
      </c>
      <c r="C20" s="24">
        <f>COUNTIF(Dashboard!E21:E34, "Satisfied")</f>
        <v>0</v>
      </c>
      <c r="D20" s="23"/>
      <c r="E20" s="23"/>
      <c r="F20" s="23"/>
      <c r="G20" s="23"/>
      <c r="H20" s="23"/>
      <c r="I20" s="23"/>
      <c r="J20" s="23"/>
      <c r="K20" s="23"/>
      <c r="L20" s="23"/>
      <c r="M20" s="23"/>
      <c r="N20" s="23"/>
      <c r="O20" s="23"/>
      <c r="P20" s="23"/>
      <c r="Q20" s="23"/>
      <c r="R20" s="23"/>
      <c r="S20" s="23"/>
      <c r="T20" s="23"/>
      <c r="U20" s="23"/>
      <c r="V20" s="23"/>
      <c r="W20" s="23"/>
      <c r="X20" s="23"/>
      <c r="Y20" s="23"/>
      <c r="Z20" s="23"/>
      <c r="AA20" s="23"/>
    </row>
    <row r="21" spans="1:27" ht="21" customHeight="1" x14ac:dyDescent="0.15">
      <c r="A21" s="23"/>
      <c r="B21" s="24" t="s">
        <v>31</v>
      </c>
      <c r="C21" s="24">
        <f>COUNTIF(Dashboard!E21:E34, "Unsatisfied")</f>
        <v>0</v>
      </c>
      <c r="D21" s="23"/>
      <c r="E21" s="23"/>
      <c r="F21" s="23"/>
      <c r="G21" s="23"/>
      <c r="H21" s="23"/>
      <c r="I21" s="23"/>
      <c r="J21" s="23"/>
      <c r="K21" s="23"/>
      <c r="L21" s="23"/>
      <c r="M21" s="23"/>
      <c r="N21" s="23"/>
      <c r="O21" s="23"/>
      <c r="P21" s="23"/>
      <c r="Q21" s="23"/>
      <c r="R21" s="23"/>
      <c r="S21" s="23"/>
      <c r="T21" s="23"/>
      <c r="U21" s="23"/>
      <c r="V21" s="23"/>
      <c r="W21" s="23"/>
      <c r="X21" s="23"/>
      <c r="Y21" s="23"/>
      <c r="Z21" s="23"/>
      <c r="AA21" s="23"/>
    </row>
    <row r="22" spans="1:27" ht="21" customHeight="1" x14ac:dyDescent="0.1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row>
    <row r="23" spans="1:27" ht="21" customHeight="1" x14ac:dyDescent="0.1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row>
    <row r="24" spans="1:27" ht="21" customHeight="1" x14ac:dyDescent="0.1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row>
    <row r="25" spans="1:27" ht="21" customHeight="1" x14ac:dyDescent="0.1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row>
    <row r="26" spans="1:27" ht="21" customHeight="1" x14ac:dyDescent="0.1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row r="27" spans="1:27" ht="21" customHeight="1" x14ac:dyDescent="0.1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row>
    <row r="28" spans="1:27" ht="21" customHeight="1" x14ac:dyDescent="0.1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row>
    <row r="29" spans="1:27" ht="21" customHeight="1" x14ac:dyDescent="0.1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spans="1:27" ht="21" customHeight="1" x14ac:dyDescent="0.1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row>
    <row r="31" spans="1:27" ht="21" customHeight="1" x14ac:dyDescent="0.1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row>
    <row r="32" spans="1:27" ht="21" customHeight="1" x14ac:dyDescent="0.1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row>
    <row r="33" spans="1:27" ht="21" customHeight="1" x14ac:dyDescent="0.1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row>
    <row r="34" spans="1:27" ht="21" customHeight="1" x14ac:dyDescent="0.1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spans="1:27" ht="21" customHeight="1" x14ac:dyDescent="0.1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spans="1:27" ht="21" customHeight="1" x14ac:dyDescent="0.1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spans="1:27" ht="21" customHeight="1" x14ac:dyDescent="0.1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spans="1:27" ht="21" customHeight="1" x14ac:dyDescent="0.1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spans="1:27" ht="21" customHeight="1" x14ac:dyDescent="0.1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spans="1:27" ht="21" customHeight="1" x14ac:dyDescent="0.1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spans="1:27" ht="21" customHeight="1" x14ac:dyDescent="0.1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spans="1:27" ht="21" customHeight="1" x14ac:dyDescent="0.1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spans="1:27" ht="21" customHeight="1" x14ac:dyDescent="0.1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spans="1:27" ht="21" customHeight="1" x14ac:dyDescent="0.1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spans="1:27" ht="21" customHeight="1" x14ac:dyDescent="0.1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spans="1:27" ht="21" customHeight="1" x14ac:dyDescent="0.1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spans="1:27" ht="21" customHeight="1" x14ac:dyDescent="0.1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spans="1:27" ht="21" customHeight="1" x14ac:dyDescent="0.1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spans="1:27" ht="21" customHeight="1" x14ac:dyDescent="0.1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spans="1:27" ht="21" customHeight="1" x14ac:dyDescent="0.1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spans="1:27" ht="21" customHeight="1" x14ac:dyDescent="0.1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spans="1:27" ht="21" customHeight="1" x14ac:dyDescent="0.1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spans="1:27" ht="21" customHeight="1" x14ac:dyDescent="0.1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spans="1:27" ht="21" customHeight="1" x14ac:dyDescent="0.1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spans="1:27" ht="21" customHeight="1" x14ac:dyDescent="0.1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spans="1:27" ht="21" customHeight="1" x14ac:dyDescent="0.1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spans="1:27" ht="21" customHeight="1" x14ac:dyDescent="0.1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spans="1:27" ht="21" customHeight="1" x14ac:dyDescent="0.1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spans="1:27" ht="21" customHeight="1" x14ac:dyDescent="0.1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spans="1:27" ht="21" customHeight="1" x14ac:dyDescent="0.1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spans="1:27" ht="21" customHeight="1" x14ac:dyDescent="0.1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spans="1:27" ht="21" customHeight="1" x14ac:dyDescent="0.1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spans="1:27" ht="21" customHeight="1" x14ac:dyDescent="0.1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spans="1:27" ht="21" customHeight="1" x14ac:dyDescent="0.1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spans="1:27" ht="21" customHeight="1" x14ac:dyDescent="0.1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spans="1:27" ht="21" customHeight="1" x14ac:dyDescent="0.1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spans="1:27" ht="21" customHeight="1" x14ac:dyDescent="0.1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spans="1:27" ht="21" customHeight="1" x14ac:dyDescent="0.1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spans="1:27" ht="21" customHeight="1" x14ac:dyDescent="0.1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spans="1:27" ht="21" customHeight="1" x14ac:dyDescent="0.1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spans="1:27" ht="21" customHeight="1" x14ac:dyDescent="0.1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spans="1:27" ht="21" customHeight="1" x14ac:dyDescent="0.1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spans="1:27" ht="21" customHeight="1" x14ac:dyDescent="0.1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spans="1:27" ht="21" customHeight="1" x14ac:dyDescent="0.1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spans="1:27" ht="21" customHeight="1" x14ac:dyDescent="0.1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spans="1:27" ht="21" customHeight="1" x14ac:dyDescent="0.1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spans="1:27" ht="21" customHeight="1" x14ac:dyDescent="0.1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spans="1:27" ht="21" customHeight="1" x14ac:dyDescent="0.1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spans="1:27" ht="21" customHeight="1" x14ac:dyDescent="0.1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spans="1:27" ht="21" customHeight="1" x14ac:dyDescent="0.1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spans="1:27" ht="21" customHeight="1" x14ac:dyDescent="0.1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spans="1:27" ht="21" customHeight="1" x14ac:dyDescent="0.1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spans="1:27" ht="21" customHeight="1" x14ac:dyDescent="0.1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spans="1:27" ht="21" customHeight="1" x14ac:dyDescent="0.1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spans="1:27" ht="21" customHeight="1" x14ac:dyDescent="0.1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spans="1:27" ht="21" customHeight="1" x14ac:dyDescent="0.1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spans="1:27" ht="21" customHeight="1" x14ac:dyDescent="0.1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spans="1:27" ht="21" customHeight="1" x14ac:dyDescent="0.1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spans="1:27" ht="21" customHeight="1" x14ac:dyDescent="0.1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spans="1:27" ht="21" customHeight="1" x14ac:dyDescent="0.1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spans="1:27" ht="21" customHeight="1" x14ac:dyDescent="0.1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spans="1:27" ht="21" customHeight="1" x14ac:dyDescent="0.1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spans="1:27" ht="21" customHeight="1" x14ac:dyDescent="0.1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spans="1:27" ht="21" customHeight="1" x14ac:dyDescent="0.1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spans="1:27" ht="21" customHeight="1" x14ac:dyDescent="0.1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spans="1:27" ht="21" customHeight="1" x14ac:dyDescent="0.1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spans="1:27" ht="21" customHeight="1" x14ac:dyDescent="0.1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spans="1:27" ht="21" customHeight="1" x14ac:dyDescent="0.1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spans="1:27" ht="21" customHeight="1" x14ac:dyDescent="0.1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spans="1:27" ht="21" customHeight="1" x14ac:dyDescent="0.1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spans="1:27" ht="21" customHeight="1" x14ac:dyDescent="0.1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spans="1:27" ht="21" customHeight="1" x14ac:dyDescent="0.1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spans="1:27" ht="21" customHeight="1" x14ac:dyDescent="0.1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spans="1:27" ht="21" customHeight="1" x14ac:dyDescent="0.1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spans="1:27" ht="21" customHeight="1" x14ac:dyDescent="0.1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spans="1:27" ht="21" customHeight="1" x14ac:dyDescent="0.1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spans="1:27" ht="21" customHeight="1" x14ac:dyDescent="0.1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spans="1:27" ht="21" customHeight="1" x14ac:dyDescent="0.1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spans="1:27" ht="21" customHeight="1" x14ac:dyDescent="0.1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spans="1:27" ht="21" customHeight="1" x14ac:dyDescent="0.1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spans="1:27" ht="21" customHeight="1" x14ac:dyDescent="0.1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spans="1:27" ht="21" customHeight="1" x14ac:dyDescent="0.1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spans="1:27" ht="21" customHeight="1" x14ac:dyDescent="0.1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spans="1:27" ht="21" customHeight="1" x14ac:dyDescent="0.1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spans="1:27" ht="21" customHeight="1" x14ac:dyDescent="0.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spans="1:27" ht="21" customHeight="1" x14ac:dyDescent="0.1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spans="1:27" ht="21" customHeight="1" x14ac:dyDescent="0.1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spans="1:27" ht="21" customHeight="1" x14ac:dyDescent="0.1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spans="1:27" ht="21" customHeight="1" x14ac:dyDescent="0.1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spans="1:27" ht="21" customHeight="1" x14ac:dyDescent="0.1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spans="1:27" ht="21" customHeight="1" x14ac:dyDescent="0.1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spans="1:27" ht="21" customHeight="1" x14ac:dyDescent="0.1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spans="1:27" ht="21" customHeight="1" x14ac:dyDescent="0.1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spans="1:27" ht="21" customHeight="1" x14ac:dyDescent="0.1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spans="1:27" ht="21" customHeight="1" x14ac:dyDescent="0.1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spans="1:27" ht="21" customHeight="1" x14ac:dyDescent="0.1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spans="1:27" ht="21" customHeight="1" x14ac:dyDescent="0.1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spans="1:27" ht="21" customHeight="1" x14ac:dyDescent="0.1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spans="1:27" ht="21" customHeight="1" x14ac:dyDescent="0.1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spans="1:27" ht="21" customHeight="1" x14ac:dyDescent="0.1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spans="1:27" ht="21" customHeight="1" x14ac:dyDescent="0.1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spans="1:27" ht="21" customHeight="1" x14ac:dyDescent="0.1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spans="1:27" ht="21" customHeight="1" x14ac:dyDescent="0.1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spans="1:27" ht="21" customHeight="1" x14ac:dyDescent="0.1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spans="1:27" ht="21" customHeight="1" x14ac:dyDescent="0.1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spans="1:27" ht="21" customHeight="1" x14ac:dyDescent="0.1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spans="1:27" ht="21" customHeight="1" x14ac:dyDescent="0.1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spans="1:27" ht="21" customHeight="1" x14ac:dyDescent="0.1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spans="1:27" ht="21" customHeight="1" x14ac:dyDescent="0.1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spans="1:27" ht="21" customHeight="1" x14ac:dyDescent="0.1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spans="1:27" ht="21" customHeight="1" x14ac:dyDescent="0.1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spans="1:27" ht="21" customHeight="1" x14ac:dyDescent="0.1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spans="1:27" ht="21" customHeight="1" x14ac:dyDescent="0.1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spans="1:27" ht="21" customHeight="1" x14ac:dyDescent="0.1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spans="1:27" ht="21" customHeight="1" x14ac:dyDescent="0.1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spans="1:27" ht="21" customHeight="1" x14ac:dyDescent="0.1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spans="1:27" ht="21" customHeight="1" x14ac:dyDescent="0.1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spans="1:27" ht="21" customHeight="1" x14ac:dyDescent="0.1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spans="1:27" ht="21" customHeight="1" x14ac:dyDescent="0.1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spans="1:27" ht="21" customHeight="1" x14ac:dyDescent="0.1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spans="1:27" ht="21" customHeight="1" x14ac:dyDescent="0.1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spans="1:27" ht="21" customHeight="1" x14ac:dyDescent="0.1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spans="1:27" ht="21" customHeight="1" x14ac:dyDescent="0.1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spans="1:27" ht="21" customHeight="1" x14ac:dyDescent="0.1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spans="1:27" ht="21" customHeight="1" x14ac:dyDescent="0.1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spans="1:27" ht="21" customHeight="1" x14ac:dyDescent="0.1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spans="1:27" ht="21" customHeight="1" x14ac:dyDescent="0.1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spans="1:27" ht="21" customHeight="1" x14ac:dyDescent="0.1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spans="1:27" ht="21" customHeight="1" x14ac:dyDescent="0.1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spans="1:27" ht="21" customHeight="1" x14ac:dyDescent="0.1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spans="1:27" ht="21" customHeight="1" x14ac:dyDescent="0.1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spans="1:27" ht="21" customHeight="1" x14ac:dyDescent="0.1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spans="1:27" ht="21" customHeight="1" x14ac:dyDescent="0.1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spans="1:27" ht="21" customHeight="1" x14ac:dyDescent="0.1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spans="1:27" ht="21" customHeight="1" x14ac:dyDescent="0.1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spans="1:27" ht="21" customHeight="1" x14ac:dyDescent="0.1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spans="1:27" ht="21" customHeight="1" x14ac:dyDescent="0.1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spans="1:27" ht="21" customHeight="1" x14ac:dyDescent="0.1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spans="1:27" ht="21" customHeight="1" x14ac:dyDescent="0.1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spans="1:27" ht="21" customHeight="1" x14ac:dyDescent="0.1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spans="1:27" ht="21" customHeight="1" x14ac:dyDescent="0.1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spans="1:27" ht="21" customHeight="1" x14ac:dyDescent="0.1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spans="1:27" ht="21" customHeight="1" x14ac:dyDescent="0.1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spans="1:27" ht="21" customHeight="1" x14ac:dyDescent="0.1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spans="1:27" ht="21" customHeight="1" x14ac:dyDescent="0.1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spans="1:27" ht="21" customHeight="1" x14ac:dyDescent="0.1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spans="1:27" ht="21" customHeight="1" x14ac:dyDescent="0.1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spans="1:27" ht="21" customHeight="1" x14ac:dyDescent="0.1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spans="1:27" ht="21" customHeight="1" x14ac:dyDescent="0.1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spans="1:27" ht="21" customHeight="1" x14ac:dyDescent="0.1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spans="1:27" ht="21" customHeight="1" x14ac:dyDescent="0.1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spans="1:27" ht="21" customHeight="1" x14ac:dyDescent="0.1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spans="1:27" ht="21" customHeight="1" x14ac:dyDescent="0.1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spans="1:27" ht="21" customHeight="1" x14ac:dyDescent="0.1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spans="1:27" ht="21" customHeight="1" x14ac:dyDescent="0.1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spans="1:27" ht="21" customHeight="1" x14ac:dyDescent="0.1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spans="1:27" ht="21" customHeight="1" x14ac:dyDescent="0.1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spans="1:27" ht="21" customHeight="1" x14ac:dyDescent="0.1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spans="1:27" ht="21" customHeight="1" x14ac:dyDescent="0.1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spans="1:27" ht="21" customHeight="1" x14ac:dyDescent="0.1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spans="1:27" ht="21" customHeight="1" x14ac:dyDescent="0.1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spans="1:27" ht="21" customHeight="1" x14ac:dyDescent="0.1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spans="1:27" ht="21" customHeight="1" x14ac:dyDescent="0.1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spans="1:27" ht="21" customHeight="1" x14ac:dyDescent="0.1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spans="1:27" ht="21" customHeight="1" x14ac:dyDescent="0.1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spans="1:27" ht="21" customHeight="1" x14ac:dyDescent="0.1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spans="1:27" ht="21" customHeight="1" x14ac:dyDescent="0.1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spans="1:27" ht="21" customHeight="1" x14ac:dyDescent="0.1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spans="1:27" ht="21" customHeight="1" x14ac:dyDescent="0.1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spans="1:27" ht="21" customHeight="1" x14ac:dyDescent="0.1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spans="1:27" ht="21" customHeight="1" x14ac:dyDescent="0.1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spans="1:27" ht="21" customHeight="1" x14ac:dyDescent="0.1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spans="1:27" ht="21" customHeight="1" x14ac:dyDescent="0.1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spans="1:27" ht="21" customHeight="1" x14ac:dyDescent="0.1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spans="1:27" ht="21" customHeight="1" x14ac:dyDescent="0.1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spans="1:27" ht="21" customHeight="1" x14ac:dyDescent="0.1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spans="1:27" ht="21" customHeight="1" x14ac:dyDescent="0.1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spans="1:27" ht="21" customHeight="1" x14ac:dyDescent="0.1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spans="1:27" ht="21" customHeight="1" x14ac:dyDescent="0.1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spans="1:27" ht="21" customHeight="1" x14ac:dyDescent="0.1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spans="1:27" ht="21" customHeight="1" x14ac:dyDescent="0.1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spans="1:27" ht="21" customHeight="1" x14ac:dyDescent="0.1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spans="1:27" ht="21" customHeight="1" x14ac:dyDescent="0.1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spans="1:27" ht="21" customHeight="1" x14ac:dyDescent="0.1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spans="1:27" ht="21" customHeight="1" x14ac:dyDescent="0.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spans="1:27" ht="21" customHeight="1" x14ac:dyDescent="0.1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spans="1:27" ht="21" customHeight="1" x14ac:dyDescent="0.1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spans="1:27" ht="21" customHeight="1" x14ac:dyDescent="0.1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spans="1:27" ht="21" customHeight="1" x14ac:dyDescent="0.1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spans="1:27" ht="21" customHeight="1" x14ac:dyDescent="0.1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spans="1:27" ht="21" customHeight="1" x14ac:dyDescent="0.1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spans="1:27" ht="21" customHeight="1" x14ac:dyDescent="0.1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spans="1:27" ht="21" customHeight="1" x14ac:dyDescent="0.1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spans="1:27" ht="21" customHeight="1" x14ac:dyDescent="0.1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spans="1:27" ht="21" customHeight="1" x14ac:dyDescent="0.1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spans="1:27" ht="21" customHeight="1" x14ac:dyDescent="0.1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spans="1:27" ht="21" customHeight="1" x14ac:dyDescent="0.1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spans="1:27" ht="21" customHeight="1" x14ac:dyDescent="0.1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spans="1:27" ht="21" customHeight="1" x14ac:dyDescent="0.1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spans="1:27" ht="21" customHeight="1" x14ac:dyDescent="0.1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spans="1:27" ht="21" customHeight="1" x14ac:dyDescent="0.1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spans="1:27" ht="21" customHeight="1" x14ac:dyDescent="0.1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spans="1:27" ht="21" customHeight="1" x14ac:dyDescent="0.1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spans="1:27" ht="21" customHeight="1" x14ac:dyDescent="0.1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spans="1:27" ht="21" customHeight="1" x14ac:dyDescent="0.1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spans="1:27" ht="21" customHeight="1" x14ac:dyDescent="0.1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spans="1:27" ht="21" customHeight="1" x14ac:dyDescent="0.1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spans="1:27" ht="21" customHeight="1" x14ac:dyDescent="0.1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spans="1:27" ht="21" customHeight="1" x14ac:dyDescent="0.1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spans="1:27" ht="21" customHeight="1" x14ac:dyDescent="0.1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spans="1:27" ht="21" customHeight="1" x14ac:dyDescent="0.1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spans="1:27" ht="21" customHeight="1" x14ac:dyDescent="0.1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spans="1:27" ht="21" customHeight="1" x14ac:dyDescent="0.1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spans="1:27" ht="21" customHeight="1" x14ac:dyDescent="0.1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spans="1:27" ht="21" customHeight="1" x14ac:dyDescent="0.1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spans="1:27" ht="21" customHeight="1" x14ac:dyDescent="0.1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spans="1:27" ht="21" customHeight="1" x14ac:dyDescent="0.1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spans="1:27" ht="21" customHeight="1" x14ac:dyDescent="0.1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spans="1:27" ht="21" customHeight="1" x14ac:dyDescent="0.1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spans="1:27" ht="21" customHeight="1" x14ac:dyDescent="0.1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spans="1:27" ht="21" customHeight="1" x14ac:dyDescent="0.1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spans="1:27" ht="21" customHeight="1" x14ac:dyDescent="0.1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spans="1:27" ht="21" customHeight="1" x14ac:dyDescent="0.1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spans="1:27" ht="21" customHeight="1" x14ac:dyDescent="0.1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spans="1:27" ht="21" customHeight="1" x14ac:dyDescent="0.1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spans="1:27" ht="21" customHeight="1" x14ac:dyDescent="0.1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spans="1:27" ht="21" customHeight="1" x14ac:dyDescent="0.1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spans="1:27" ht="21" customHeight="1" x14ac:dyDescent="0.1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spans="1:27" ht="21" customHeight="1" x14ac:dyDescent="0.1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spans="1:27" ht="21" customHeight="1" x14ac:dyDescent="0.1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spans="1:27" ht="21" customHeight="1" x14ac:dyDescent="0.1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spans="1:27" ht="21" customHeight="1" x14ac:dyDescent="0.1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spans="1:27" ht="21" customHeight="1" x14ac:dyDescent="0.1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spans="1:27" ht="21" customHeight="1" x14ac:dyDescent="0.1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spans="1:27" ht="21" customHeight="1" x14ac:dyDescent="0.1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spans="1:27" ht="21" customHeight="1" x14ac:dyDescent="0.1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spans="1:27" ht="21" customHeight="1" x14ac:dyDescent="0.1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spans="1:27" ht="21" customHeight="1" x14ac:dyDescent="0.1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spans="1:27" ht="21" customHeight="1" x14ac:dyDescent="0.1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spans="1:27" ht="21" customHeight="1" x14ac:dyDescent="0.1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spans="1:27" ht="21" customHeight="1" x14ac:dyDescent="0.1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spans="1:27" ht="21" customHeight="1" x14ac:dyDescent="0.1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spans="1:27" ht="21" customHeight="1" x14ac:dyDescent="0.1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spans="1:27" ht="21" customHeight="1" x14ac:dyDescent="0.1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spans="1:27" ht="21" customHeight="1" x14ac:dyDescent="0.1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spans="1:27" ht="21" customHeight="1" x14ac:dyDescent="0.1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spans="1:27" ht="21" customHeight="1" x14ac:dyDescent="0.1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spans="1:27" ht="21" customHeight="1" x14ac:dyDescent="0.1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spans="1:27" ht="21" customHeight="1" x14ac:dyDescent="0.1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spans="1:27" ht="21" customHeight="1" x14ac:dyDescent="0.1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spans="1:27" ht="21" customHeight="1" x14ac:dyDescent="0.1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spans="1:27" ht="21" customHeight="1" x14ac:dyDescent="0.1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spans="1:27" ht="21" customHeight="1" x14ac:dyDescent="0.1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spans="1:27" ht="21" customHeight="1" x14ac:dyDescent="0.1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spans="1:27" ht="21" customHeight="1" x14ac:dyDescent="0.1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spans="1:27" ht="21" customHeight="1" x14ac:dyDescent="0.1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spans="1:27" ht="21" customHeight="1" x14ac:dyDescent="0.1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spans="1:27" ht="21" customHeight="1" x14ac:dyDescent="0.1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spans="1:27" ht="21" customHeight="1" x14ac:dyDescent="0.1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spans="1:27" ht="21" customHeight="1" x14ac:dyDescent="0.1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spans="1:27" ht="21" customHeight="1" x14ac:dyDescent="0.1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spans="1:27" ht="21" customHeight="1" x14ac:dyDescent="0.1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spans="1:27" ht="21" customHeight="1" x14ac:dyDescent="0.1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spans="1:27" ht="21" customHeight="1" x14ac:dyDescent="0.1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spans="1:27" ht="21" customHeight="1" x14ac:dyDescent="0.1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spans="1:27" ht="21" customHeight="1" x14ac:dyDescent="0.1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spans="1:27" ht="21" customHeight="1" x14ac:dyDescent="0.1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spans="1:27" ht="21" customHeight="1" x14ac:dyDescent="0.1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spans="1:27" ht="21" customHeight="1" x14ac:dyDescent="0.1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spans="1:27" ht="21" customHeight="1" x14ac:dyDescent="0.1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spans="1:27" ht="21" customHeight="1" x14ac:dyDescent="0.1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spans="1:27" ht="21" customHeight="1" x14ac:dyDescent="0.1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spans="1:27" ht="21" customHeight="1" x14ac:dyDescent="0.1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spans="1:27" ht="21" customHeight="1" x14ac:dyDescent="0.1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spans="1:27" ht="21" customHeight="1" x14ac:dyDescent="0.1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spans="1:27" ht="21" customHeight="1" x14ac:dyDescent="0.1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spans="1:27" ht="21" customHeight="1" x14ac:dyDescent="0.1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spans="1:27" ht="21" customHeight="1" x14ac:dyDescent="0.1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spans="1:27" ht="21" customHeight="1" x14ac:dyDescent="0.1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spans="1:27" ht="21" customHeight="1" x14ac:dyDescent="0.1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spans="1:27" ht="21" customHeight="1" x14ac:dyDescent="0.1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spans="1:27" ht="21" customHeight="1" x14ac:dyDescent="0.1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spans="1:27" ht="21" customHeight="1" x14ac:dyDescent="0.1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spans="1:27" ht="21" customHeight="1" x14ac:dyDescent="0.1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spans="1:27" ht="21" customHeight="1" x14ac:dyDescent="0.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spans="1:27" ht="21" customHeight="1" x14ac:dyDescent="0.1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spans="1:27" ht="21" customHeight="1" x14ac:dyDescent="0.1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spans="1:27" ht="21" customHeight="1" x14ac:dyDescent="0.1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spans="1:27" ht="21" customHeight="1" x14ac:dyDescent="0.1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spans="1:27" ht="21" customHeight="1" x14ac:dyDescent="0.1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spans="1:27" ht="21" customHeight="1" x14ac:dyDescent="0.1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spans="1:27" ht="21" customHeight="1" x14ac:dyDescent="0.1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spans="1:27" ht="21" customHeight="1" x14ac:dyDescent="0.1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spans="1:27" ht="21" customHeight="1" x14ac:dyDescent="0.1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spans="1:27" ht="21" customHeight="1" x14ac:dyDescent="0.1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spans="1:27" ht="21" customHeight="1" x14ac:dyDescent="0.1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spans="1:27" ht="21" customHeight="1" x14ac:dyDescent="0.1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spans="1:27" ht="21" customHeight="1" x14ac:dyDescent="0.1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spans="1:27" ht="21" customHeight="1" x14ac:dyDescent="0.1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spans="1:27" ht="21" customHeight="1" x14ac:dyDescent="0.1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spans="1:27" ht="21" customHeight="1" x14ac:dyDescent="0.1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spans="1:27" ht="21" customHeight="1" x14ac:dyDescent="0.1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spans="1:27" ht="21" customHeight="1" x14ac:dyDescent="0.1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spans="1:27" ht="21" customHeight="1" x14ac:dyDescent="0.1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spans="1:27" ht="21" customHeight="1" x14ac:dyDescent="0.1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spans="1:27" ht="21" customHeight="1" x14ac:dyDescent="0.1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spans="1:27" ht="21" customHeight="1" x14ac:dyDescent="0.1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spans="1:27" ht="21" customHeight="1" x14ac:dyDescent="0.1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spans="1:27" ht="21" customHeight="1" x14ac:dyDescent="0.1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spans="1:27" ht="21" customHeight="1" x14ac:dyDescent="0.1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spans="1:27" ht="21" customHeight="1" x14ac:dyDescent="0.1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spans="1:27" ht="21" customHeight="1" x14ac:dyDescent="0.1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spans="1:27" ht="21" customHeight="1" x14ac:dyDescent="0.1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spans="1:27" ht="21" customHeight="1" x14ac:dyDescent="0.1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spans="1:27" ht="21" customHeight="1" x14ac:dyDescent="0.1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spans="1:27" ht="21" customHeight="1" x14ac:dyDescent="0.1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spans="1:27" ht="21" customHeight="1" x14ac:dyDescent="0.1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spans="1:27" ht="21" customHeight="1" x14ac:dyDescent="0.1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spans="1:27" ht="21" customHeight="1" x14ac:dyDescent="0.1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spans="1:27" ht="21" customHeight="1" x14ac:dyDescent="0.1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spans="1:27" ht="21" customHeight="1" x14ac:dyDescent="0.1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spans="1:27" ht="21" customHeight="1" x14ac:dyDescent="0.1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spans="1:27" ht="21" customHeight="1" x14ac:dyDescent="0.1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spans="1:27" ht="21" customHeight="1" x14ac:dyDescent="0.1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spans="1:27" ht="21" customHeight="1" x14ac:dyDescent="0.1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spans="1:27" ht="21" customHeight="1" x14ac:dyDescent="0.1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spans="1:27" ht="21" customHeight="1" x14ac:dyDescent="0.1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spans="1:27" ht="21" customHeight="1" x14ac:dyDescent="0.1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spans="1:27" ht="21" customHeight="1" x14ac:dyDescent="0.1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spans="1:27" ht="21" customHeight="1" x14ac:dyDescent="0.1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spans="1:27" ht="21" customHeight="1" x14ac:dyDescent="0.1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spans="1:27" ht="21" customHeight="1" x14ac:dyDescent="0.1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spans="1:27" ht="21" customHeight="1" x14ac:dyDescent="0.1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spans="1:27" ht="21" customHeight="1" x14ac:dyDescent="0.1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spans="1:27" ht="21" customHeight="1" x14ac:dyDescent="0.1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spans="1:27" ht="21" customHeight="1" x14ac:dyDescent="0.1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spans="1:27" ht="21" customHeight="1" x14ac:dyDescent="0.1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spans="1:27" ht="21" customHeight="1" x14ac:dyDescent="0.1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spans="1:27" ht="21" customHeight="1" x14ac:dyDescent="0.1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spans="1:27" ht="21" customHeight="1" x14ac:dyDescent="0.1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spans="1:27" ht="21" customHeight="1" x14ac:dyDescent="0.1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spans="1:27" ht="21" customHeight="1" x14ac:dyDescent="0.1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spans="1:27" ht="21" customHeight="1" x14ac:dyDescent="0.1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spans="1:27" ht="21" customHeight="1" x14ac:dyDescent="0.1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spans="1:27" ht="21" customHeight="1" x14ac:dyDescent="0.1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spans="1:27" ht="21" customHeight="1" x14ac:dyDescent="0.1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spans="1:27" ht="21" customHeight="1" x14ac:dyDescent="0.1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spans="1:27" ht="21" customHeight="1" x14ac:dyDescent="0.1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spans="1:27" ht="21" customHeight="1" x14ac:dyDescent="0.1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spans="1:27" ht="21" customHeight="1" x14ac:dyDescent="0.1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spans="1:27" ht="21" customHeight="1" x14ac:dyDescent="0.1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spans="1:27" ht="21" customHeight="1" x14ac:dyDescent="0.1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spans="1:27" ht="21" customHeight="1" x14ac:dyDescent="0.1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spans="1:27" ht="21" customHeight="1" x14ac:dyDescent="0.1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spans="1:27" ht="21" customHeight="1" x14ac:dyDescent="0.1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spans="1:27" ht="21" customHeight="1" x14ac:dyDescent="0.1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spans="1:27" ht="21" customHeight="1" x14ac:dyDescent="0.1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spans="1:27" ht="21" customHeight="1" x14ac:dyDescent="0.1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spans="1:27" ht="21" customHeight="1" x14ac:dyDescent="0.1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spans="1:27" ht="21" customHeight="1" x14ac:dyDescent="0.1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spans="1:27" ht="21" customHeight="1" x14ac:dyDescent="0.1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spans="1:27" ht="21" customHeight="1" x14ac:dyDescent="0.1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spans="1:27" ht="21" customHeight="1" x14ac:dyDescent="0.1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spans="1:27" ht="21" customHeight="1" x14ac:dyDescent="0.1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spans="1:27" ht="21" customHeight="1" x14ac:dyDescent="0.1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spans="1:27" ht="21" customHeight="1" x14ac:dyDescent="0.1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spans="1:27" ht="21" customHeight="1" x14ac:dyDescent="0.1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spans="1:27" ht="21" customHeight="1" x14ac:dyDescent="0.1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spans="1:27" ht="21" customHeight="1" x14ac:dyDescent="0.1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spans="1:27" ht="21" customHeight="1" x14ac:dyDescent="0.1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spans="1:27" ht="21" customHeight="1" x14ac:dyDescent="0.1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spans="1:27" ht="21" customHeight="1" x14ac:dyDescent="0.1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spans="1:27" ht="21" customHeight="1" x14ac:dyDescent="0.1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spans="1:27" ht="21" customHeight="1" x14ac:dyDescent="0.1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spans="1:27" ht="21" customHeight="1" x14ac:dyDescent="0.1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spans="1:27" ht="21" customHeight="1" x14ac:dyDescent="0.1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spans="1:27" ht="21" customHeight="1" x14ac:dyDescent="0.1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spans="1:27" ht="21" customHeight="1" x14ac:dyDescent="0.1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spans="1:27" ht="21" customHeight="1" x14ac:dyDescent="0.1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spans="1:27" ht="21" customHeight="1" x14ac:dyDescent="0.1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spans="1:27" ht="21" customHeight="1" x14ac:dyDescent="0.1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spans="1:27" ht="21" customHeight="1" x14ac:dyDescent="0.1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spans="1:27" ht="21" customHeight="1" x14ac:dyDescent="0.1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spans="1:27" ht="21" customHeight="1" x14ac:dyDescent="0.1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spans="1:27" ht="21" customHeight="1" x14ac:dyDescent="0.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spans="1:27" ht="21" customHeight="1" x14ac:dyDescent="0.1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spans="1:27" ht="21" customHeight="1" x14ac:dyDescent="0.1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spans="1:27" ht="21" customHeight="1" x14ac:dyDescent="0.1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spans="1:27" ht="21" customHeight="1" x14ac:dyDescent="0.1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spans="1:27" ht="21" customHeight="1" x14ac:dyDescent="0.1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spans="1:27" ht="21" customHeight="1" x14ac:dyDescent="0.1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spans="1:27" ht="21" customHeight="1" x14ac:dyDescent="0.1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spans="1:27" ht="21" customHeight="1" x14ac:dyDescent="0.1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spans="1:27" ht="21" customHeight="1" x14ac:dyDescent="0.1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spans="1:27" ht="21" customHeight="1" x14ac:dyDescent="0.1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spans="1:27" ht="21" customHeight="1" x14ac:dyDescent="0.1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spans="1:27" ht="21" customHeight="1" x14ac:dyDescent="0.1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spans="1:27" ht="21" customHeight="1" x14ac:dyDescent="0.1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spans="1:27" ht="21" customHeight="1" x14ac:dyDescent="0.1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spans="1:27" ht="21" customHeight="1" x14ac:dyDescent="0.1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spans="1:27" ht="21" customHeight="1" x14ac:dyDescent="0.1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spans="1:27" ht="21" customHeight="1" x14ac:dyDescent="0.1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spans="1:27" ht="21" customHeight="1" x14ac:dyDescent="0.1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spans="1:27" ht="21" customHeight="1" x14ac:dyDescent="0.1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spans="1:27" ht="21" customHeight="1" x14ac:dyDescent="0.1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spans="1:27" ht="21" customHeight="1" x14ac:dyDescent="0.1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spans="1:27" ht="21" customHeight="1" x14ac:dyDescent="0.1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spans="1:27" ht="21" customHeight="1" x14ac:dyDescent="0.1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spans="1:27" ht="21" customHeight="1" x14ac:dyDescent="0.1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spans="1:27" ht="21" customHeight="1" x14ac:dyDescent="0.1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spans="1:27" ht="21" customHeight="1" x14ac:dyDescent="0.1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spans="1:27" ht="21" customHeight="1" x14ac:dyDescent="0.1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spans="1:27" ht="21" customHeight="1" x14ac:dyDescent="0.1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spans="1:27" ht="21" customHeight="1" x14ac:dyDescent="0.1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spans="1:27" ht="21" customHeight="1" x14ac:dyDescent="0.1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spans="1:27" ht="21" customHeight="1" x14ac:dyDescent="0.1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spans="1:27" ht="21" customHeight="1" x14ac:dyDescent="0.1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spans="1:27" ht="21" customHeight="1" x14ac:dyDescent="0.1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spans="1:27" ht="21" customHeight="1" x14ac:dyDescent="0.1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spans="1:27" ht="21" customHeight="1" x14ac:dyDescent="0.1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spans="1:27" ht="21" customHeight="1" x14ac:dyDescent="0.1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spans="1:27" ht="21" customHeight="1" x14ac:dyDescent="0.1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spans="1:27" ht="21" customHeight="1" x14ac:dyDescent="0.1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spans="1:27" ht="21" customHeight="1" x14ac:dyDescent="0.1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spans="1:27" ht="21" customHeight="1" x14ac:dyDescent="0.1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spans="1:27" ht="21" customHeight="1" x14ac:dyDescent="0.1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spans="1:27" ht="21" customHeight="1" x14ac:dyDescent="0.1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spans="1:27" ht="21" customHeight="1" x14ac:dyDescent="0.1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spans="1:27" ht="21" customHeight="1" x14ac:dyDescent="0.1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spans="1:27" ht="21" customHeight="1" x14ac:dyDescent="0.1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spans="1:27" ht="21" customHeight="1" x14ac:dyDescent="0.1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spans="1:27" ht="21" customHeight="1" x14ac:dyDescent="0.1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spans="1:27" ht="21" customHeight="1" x14ac:dyDescent="0.1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spans="1:27" ht="21" customHeight="1" x14ac:dyDescent="0.1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spans="1:27" ht="21" customHeight="1" x14ac:dyDescent="0.1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spans="1:27" ht="21" customHeight="1" x14ac:dyDescent="0.1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spans="1:27" ht="21" customHeight="1" x14ac:dyDescent="0.1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spans="1:27" ht="21" customHeight="1" x14ac:dyDescent="0.1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spans="1:27" ht="21" customHeight="1" x14ac:dyDescent="0.1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spans="1:27" ht="21" customHeight="1" x14ac:dyDescent="0.1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spans="1:27" ht="21" customHeight="1" x14ac:dyDescent="0.1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spans="1:27" ht="21" customHeight="1" x14ac:dyDescent="0.1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spans="1:27" ht="21" customHeight="1" x14ac:dyDescent="0.1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spans="1:27" ht="21" customHeight="1" x14ac:dyDescent="0.1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spans="1:27" ht="21" customHeight="1" x14ac:dyDescent="0.1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spans="1:27" ht="21" customHeight="1" x14ac:dyDescent="0.1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spans="1:27" ht="21" customHeight="1" x14ac:dyDescent="0.1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spans="1:27" ht="21" customHeight="1" x14ac:dyDescent="0.1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spans="1:27" ht="21" customHeight="1" x14ac:dyDescent="0.1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spans="1:27" ht="21" customHeight="1" x14ac:dyDescent="0.1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spans="1:27" ht="21" customHeight="1" x14ac:dyDescent="0.1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spans="1:27" ht="21" customHeight="1" x14ac:dyDescent="0.1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spans="1:27" ht="21" customHeight="1" x14ac:dyDescent="0.1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spans="1:27" ht="21" customHeight="1" x14ac:dyDescent="0.1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spans="1:27" ht="21" customHeight="1" x14ac:dyDescent="0.1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spans="1:27" ht="21" customHeight="1" x14ac:dyDescent="0.1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spans="1:27" ht="21" customHeight="1" x14ac:dyDescent="0.1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spans="1:27" ht="21" customHeight="1" x14ac:dyDescent="0.1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spans="1:27" ht="21" customHeight="1" x14ac:dyDescent="0.1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spans="1:27" ht="21" customHeight="1" x14ac:dyDescent="0.1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spans="1:27" ht="21" customHeight="1" x14ac:dyDescent="0.1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spans="1:27" ht="21" customHeight="1" x14ac:dyDescent="0.1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spans="1:27" ht="21" customHeight="1" x14ac:dyDescent="0.1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spans="1:27" ht="21" customHeight="1" x14ac:dyDescent="0.1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spans="1:27" ht="21" customHeight="1" x14ac:dyDescent="0.1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spans="1:27" ht="21" customHeight="1" x14ac:dyDescent="0.1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spans="1:27" ht="21" customHeight="1" x14ac:dyDescent="0.1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spans="1:27" ht="21" customHeight="1" x14ac:dyDescent="0.1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spans="1:27" ht="21" customHeight="1" x14ac:dyDescent="0.1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spans="1:27" ht="21" customHeight="1" x14ac:dyDescent="0.1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spans="1:27" ht="21" customHeight="1" x14ac:dyDescent="0.1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spans="1:27" ht="21" customHeight="1" x14ac:dyDescent="0.1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spans="1:27" ht="21" customHeight="1" x14ac:dyDescent="0.1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spans="1:27" ht="21" customHeight="1" x14ac:dyDescent="0.1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spans="1:27" ht="21" customHeight="1" x14ac:dyDescent="0.1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spans="1:27" ht="21" customHeight="1" x14ac:dyDescent="0.1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spans="1:27" ht="21" customHeight="1" x14ac:dyDescent="0.1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spans="1:27" ht="21" customHeight="1" x14ac:dyDescent="0.1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spans="1:27" ht="21" customHeight="1" x14ac:dyDescent="0.1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spans="1:27" ht="21" customHeight="1" x14ac:dyDescent="0.1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spans="1:27" ht="21" customHeight="1" x14ac:dyDescent="0.1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spans="1:27" ht="21" customHeight="1" x14ac:dyDescent="0.1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spans="1:27" ht="21" customHeight="1" x14ac:dyDescent="0.1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spans="1:27" ht="21" customHeight="1" x14ac:dyDescent="0.1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spans="1:27" ht="21" customHeight="1" x14ac:dyDescent="0.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spans="1:27" ht="21" customHeight="1" x14ac:dyDescent="0.1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spans="1:27" ht="21" customHeight="1" x14ac:dyDescent="0.1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spans="1:27" ht="21" customHeight="1" x14ac:dyDescent="0.1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spans="1:27" ht="21" customHeight="1" x14ac:dyDescent="0.1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spans="1:27" ht="21" customHeight="1" x14ac:dyDescent="0.1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spans="1:27" ht="21" customHeight="1" x14ac:dyDescent="0.1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spans="1:27" ht="21" customHeight="1" x14ac:dyDescent="0.1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spans="1:27" ht="21" customHeight="1" x14ac:dyDescent="0.1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spans="1:27" ht="21" customHeight="1" x14ac:dyDescent="0.1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spans="1:27" ht="21" customHeight="1" x14ac:dyDescent="0.1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spans="1:27" ht="21" customHeight="1" x14ac:dyDescent="0.1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spans="1:27" ht="21" customHeight="1" x14ac:dyDescent="0.1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spans="1:27" ht="21" customHeight="1" x14ac:dyDescent="0.1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spans="1:27" ht="21" customHeight="1" x14ac:dyDescent="0.1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spans="1:27" ht="21" customHeight="1" x14ac:dyDescent="0.1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spans="1:27" ht="21" customHeight="1" x14ac:dyDescent="0.1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spans="1:27" ht="21" customHeight="1" x14ac:dyDescent="0.1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spans="1:27" ht="21" customHeight="1" x14ac:dyDescent="0.1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spans="1:27" ht="21" customHeight="1" x14ac:dyDescent="0.1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spans="1:27" ht="21" customHeight="1" x14ac:dyDescent="0.1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spans="1:27" ht="21" customHeight="1" x14ac:dyDescent="0.1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spans="1:27" ht="21" customHeight="1" x14ac:dyDescent="0.1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spans="1:27" ht="21" customHeight="1" x14ac:dyDescent="0.1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spans="1:27" ht="21" customHeight="1" x14ac:dyDescent="0.1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spans="1:27" ht="21" customHeight="1" x14ac:dyDescent="0.1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spans="1:27" ht="21" customHeight="1" x14ac:dyDescent="0.1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spans="1:27" ht="21" customHeight="1" x14ac:dyDescent="0.1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spans="1:27" ht="21" customHeight="1" x14ac:dyDescent="0.1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spans="1:27" ht="21" customHeight="1" x14ac:dyDescent="0.1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spans="1:27" ht="21" customHeight="1" x14ac:dyDescent="0.1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spans="1:27" ht="21" customHeight="1" x14ac:dyDescent="0.1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spans="1:27" ht="21" customHeight="1" x14ac:dyDescent="0.1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spans="1:27" ht="21" customHeight="1" x14ac:dyDescent="0.1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spans="1:27" ht="21" customHeight="1" x14ac:dyDescent="0.1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spans="1:27" ht="21" customHeight="1" x14ac:dyDescent="0.1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spans="1:27" ht="21" customHeight="1" x14ac:dyDescent="0.1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spans="1:27" ht="21" customHeight="1" x14ac:dyDescent="0.1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spans="1:27" ht="21" customHeight="1" x14ac:dyDescent="0.1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spans="1:27" ht="21" customHeight="1" x14ac:dyDescent="0.1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spans="1:27" ht="21" customHeight="1" x14ac:dyDescent="0.1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spans="1:27" ht="21" customHeight="1" x14ac:dyDescent="0.1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spans="1:27" ht="21" customHeight="1" x14ac:dyDescent="0.1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spans="1:27" ht="21" customHeight="1" x14ac:dyDescent="0.1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spans="1:27" ht="21" customHeight="1" x14ac:dyDescent="0.1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spans="1:27" ht="21" customHeight="1" x14ac:dyDescent="0.1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spans="1:27" ht="21" customHeight="1" x14ac:dyDescent="0.1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spans="1:27" ht="21" customHeight="1" x14ac:dyDescent="0.1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spans="1:27" ht="21" customHeight="1" x14ac:dyDescent="0.1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spans="1:27" ht="21" customHeight="1" x14ac:dyDescent="0.1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spans="1:27" ht="21" customHeight="1" x14ac:dyDescent="0.1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spans="1:27" ht="21" customHeight="1" x14ac:dyDescent="0.1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spans="1:27" ht="21" customHeight="1" x14ac:dyDescent="0.1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spans="1:27" ht="21" customHeight="1" x14ac:dyDescent="0.1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spans="1:27" ht="21" customHeight="1" x14ac:dyDescent="0.1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spans="1:27" ht="21" customHeight="1" x14ac:dyDescent="0.1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spans="1:27" ht="21" customHeight="1" x14ac:dyDescent="0.1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spans="1:27" ht="21" customHeight="1" x14ac:dyDescent="0.1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spans="1:27" ht="21" customHeight="1" x14ac:dyDescent="0.1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spans="1:27" ht="21" customHeight="1" x14ac:dyDescent="0.1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spans="1:27" ht="21" customHeight="1" x14ac:dyDescent="0.1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spans="1:27" ht="21" customHeight="1" x14ac:dyDescent="0.1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spans="1:27" ht="21" customHeight="1" x14ac:dyDescent="0.1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spans="1:27" ht="21" customHeight="1" x14ac:dyDescent="0.1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spans="1:27" ht="21" customHeight="1" x14ac:dyDescent="0.1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spans="1:27" ht="21" customHeight="1" x14ac:dyDescent="0.1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spans="1:27" ht="21" customHeight="1" x14ac:dyDescent="0.1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spans="1:27" ht="21" customHeight="1" x14ac:dyDescent="0.1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spans="1:27" ht="21" customHeight="1" x14ac:dyDescent="0.1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spans="1:27" ht="21" customHeight="1" x14ac:dyDescent="0.1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spans="1:27" ht="21" customHeight="1" x14ac:dyDescent="0.1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spans="1:27" ht="21" customHeight="1" x14ac:dyDescent="0.1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spans="1:27" ht="21" customHeight="1" x14ac:dyDescent="0.1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spans="1:27" ht="21" customHeight="1" x14ac:dyDescent="0.1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spans="1:27" ht="21" customHeight="1" x14ac:dyDescent="0.1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spans="1:27" ht="21" customHeight="1" x14ac:dyDescent="0.1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spans="1:27" ht="21" customHeight="1" x14ac:dyDescent="0.1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spans="1:27" ht="21" customHeight="1" x14ac:dyDescent="0.1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spans="1:27" ht="21" customHeight="1" x14ac:dyDescent="0.1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spans="1:27" ht="21" customHeight="1" x14ac:dyDescent="0.1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spans="1:27" ht="21" customHeight="1" x14ac:dyDescent="0.1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spans="1:27" ht="21" customHeight="1" x14ac:dyDescent="0.1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spans="1:27" ht="21" customHeight="1" x14ac:dyDescent="0.1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spans="1:27" ht="21" customHeight="1" x14ac:dyDescent="0.1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spans="1:27" ht="21" customHeight="1" x14ac:dyDescent="0.1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spans="1:27" ht="21" customHeight="1" x14ac:dyDescent="0.1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spans="1:27" ht="21" customHeight="1" x14ac:dyDescent="0.1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spans="1:27" ht="21" customHeight="1" x14ac:dyDescent="0.1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spans="1:27" ht="21" customHeight="1" x14ac:dyDescent="0.1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spans="1:27" ht="21" customHeight="1" x14ac:dyDescent="0.1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spans="1:27" ht="21" customHeight="1" x14ac:dyDescent="0.1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spans="1:27" ht="21" customHeight="1" x14ac:dyDescent="0.1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spans="1:27" ht="21" customHeight="1" x14ac:dyDescent="0.1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spans="1:27" ht="21" customHeight="1" x14ac:dyDescent="0.1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spans="1:27" ht="21" customHeight="1" x14ac:dyDescent="0.1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spans="1:27" ht="21" customHeight="1" x14ac:dyDescent="0.1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spans="1:27" ht="21" customHeight="1" x14ac:dyDescent="0.1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spans="1:27" ht="21" customHeight="1" x14ac:dyDescent="0.1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spans="1:27" ht="21" customHeight="1" x14ac:dyDescent="0.1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spans="1:27" ht="21" customHeight="1" x14ac:dyDescent="0.1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spans="1:27" ht="21" customHeight="1" x14ac:dyDescent="0.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spans="1:27" ht="21" customHeight="1" x14ac:dyDescent="0.1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spans="1:27" ht="21" customHeight="1" x14ac:dyDescent="0.1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spans="1:27" ht="21" customHeight="1" x14ac:dyDescent="0.1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spans="1:27" ht="21" customHeight="1" x14ac:dyDescent="0.1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spans="1:27" ht="21" customHeight="1" x14ac:dyDescent="0.1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spans="1:27" ht="21" customHeight="1" x14ac:dyDescent="0.1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spans="1:27" ht="21" customHeight="1" x14ac:dyDescent="0.1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spans="1:27" ht="21" customHeight="1" x14ac:dyDescent="0.1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spans="1:27" ht="21" customHeight="1" x14ac:dyDescent="0.1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spans="1:27" ht="21" customHeight="1" x14ac:dyDescent="0.1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spans="1:27" ht="21" customHeight="1" x14ac:dyDescent="0.1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spans="1:27" ht="21" customHeight="1" x14ac:dyDescent="0.1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spans="1:27" ht="21" customHeight="1" x14ac:dyDescent="0.1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spans="1:27" ht="21" customHeight="1" x14ac:dyDescent="0.1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spans="1:27" ht="21" customHeight="1" x14ac:dyDescent="0.1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spans="1:27" ht="21" customHeight="1" x14ac:dyDescent="0.1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spans="1:27" ht="21" customHeight="1" x14ac:dyDescent="0.1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spans="1:27" ht="21" customHeight="1" x14ac:dyDescent="0.1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spans="1:27" ht="21" customHeight="1" x14ac:dyDescent="0.1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spans="1:27" ht="21" customHeight="1" x14ac:dyDescent="0.1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spans="1:27" ht="21" customHeight="1" x14ac:dyDescent="0.1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spans="1:27" ht="21" customHeight="1" x14ac:dyDescent="0.1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spans="1:27" ht="21" customHeight="1" x14ac:dyDescent="0.1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spans="1:27" ht="21" customHeight="1" x14ac:dyDescent="0.1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spans="1:27" ht="21" customHeight="1" x14ac:dyDescent="0.1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spans="1:27" ht="21" customHeight="1" x14ac:dyDescent="0.1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spans="1:27" ht="21" customHeight="1" x14ac:dyDescent="0.1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spans="1:27" ht="21" customHeight="1" x14ac:dyDescent="0.1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spans="1:27" ht="21" customHeight="1" x14ac:dyDescent="0.1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spans="1:27" ht="21" customHeight="1" x14ac:dyDescent="0.1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spans="1:27" ht="21" customHeight="1" x14ac:dyDescent="0.1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spans="1:27" ht="21" customHeight="1" x14ac:dyDescent="0.1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spans="1:27" ht="21" customHeight="1" x14ac:dyDescent="0.1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spans="1:27" ht="21" customHeight="1" x14ac:dyDescent="0.1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spans="1:27" ht="21" customHeight="1" x14ac:dyDescent="0.1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spans="1:27" ht="21" customHeight="1" x14ac:dyDescent="0.1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spans="1:27" ht="21" customHeight="1" x14ac:dyDescent="0.1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spans="1:27" ht="21" customHeight="1" x14ac:dyDescent="0.1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spans="1:27" ht="21" customHeight="1" x14ac:dyDescent="0.1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spans="1:27" ht="21" customHeight="1" x14ac:dyDescent="0.1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spans="1:27" ht="21" customHeight="1" x14ac:dyDescent="0.1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spans="1:27" ht="21" customHeight="1" x14ac:dyDescent="0.1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spans="1:27" ht="21" customHeight="1" x14ac:dyDescent="0.1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spans="1:27" ht="21" customHeight="1" x14ac:dyDescent="0.1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spans="1:27" ht="21" customHeight="1" x14ac:dyDescent="0.1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spans="1:27" ht="21" customHeight="1" x14ac:dyDescent="0.1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spans="1:27" ht="21" customHeight="1" x14ac:dyDescent="0.1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spans="1:27" ht="21" customHeight="1" x14ac:dyDescent="0.1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spans="1:27" ht="21" customHeight="1" x14ac:dyDescent="0.1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spans="1:27" ht="21" customHeight="1" x14ac:dyDescent="0.1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spans="1:27" ht="21" customHeight="1" x14ac:dyDescent="0.1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spans="1:27" ht="21" customHeight="1" x14ac:dyDescent="0.1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spans="1:27" ht="21" customHeight="1" x14ac:dyDescent="0.1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spans="1:27" ht="21" customHeight="1" x14ac:dyDescent="0.1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spans="1:27" ht="21" customHeight="1" x14ac:dyDescent="0.1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spans="1:27" ht="21" customHeight="1" x14ac:dyDescent="0.1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spans="1:27" ht="21" customHeight="1" x14ac:dyDescent="0.1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spans="1:27" ht="21" customHeight="1" x14ac:dyDescent="0.1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spans="1:27" ht="21" customHeight="1" x14ac:dyDescent="0.1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spans="1:27" ht="21" customHeight="1" x14ac:dyDescent="0.1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spans="1:27" ht="21" customHeight="1" x14ac:dyDescent="0.1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spans="1:27" ht="21" customHeight="1" x14ac:dyDescent="0.1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spans="1:27" ht="21" customHeight="1" x14ac:dyDescent="0.1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spans="1:27" ht="21" customHeight="1" x14ac:dyDescent="0.1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spans="1:27" ht="21" customHeight="1" x14ac:dyDescent="0.1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spans="1:27" ht="21" customHeight="1" x14ac:dyDescent="0.1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spans="1:27" ht="21" customHeight="1" x14ac:dyDescent="0.1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spans="1:27" ht="21" customHeight="1" x14ac:dyDescent="0.1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spans="1:27" ht="21" customHeight="1" x14ac:dyDescent="0.1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spans="1:27" ht="21" customHeight="1" x14ac:dyDescent="0.1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spans="1:27" ht="21" customHeight="1" x14ac:dyDescent="0.1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spans="1:27" ht="21" customHeight="1" x14ac:dyDescent="0.1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spans="1:27" ht="21" customHeight="1" x14ac:dyDescent="0.1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spans="1:27" ht="21" customHeight="1" x14ac:dyDescent="0.1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spans="1:27" ht="21" customHeight="1" x14ac:dyDescent="0.1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spans="1:27" ht="21" customHeight="1" x14ac:dyDescent="0.1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spans="1:27" ht="21" customHeight="1" x14ac:dyDescent="0.1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spans="1:27" ht="21" customHeight="1" x14ac:dyDescent="0.1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spans="1:27" ht="21" customHeight="1" x14ac:dyDescent="0.1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spans="1:27" ht="21" customHeight="1" x14ac:dyDescent="0.1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spans="1:27" ht="21" customHeight="1" x14ac:dyDescent="0.1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spans="1:27" ht="21" customHeight="1" x14ac:dyDescent="0.1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spans="1:27" ht="21" customHeight="1" x14ac:dyDescent="0.1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spans="1:27" ht="21" customHeight="1" x14ac:dyDescent="0.1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spans="1:27" ht="21" customHeight="1" x14ac:dyDescent="0.1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spans="1:27" ht="21" customHeight="1" x14ac:dyDescent="0.1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spans="1:27" ht="21" customHeight="1" x14ac:dyDescent="0.1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spans="1:27" ht="21" customHeight="1" x14ac:dyDescent="0.1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spans="1:27" ht="21" customHeight="1" x14ac:dyDescent="0.1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spans="1:27" ht="21" customHeight="1" x14ac:dyDescent="0.1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spans="1:27" ht="21" customHeight="1" x14ac:dyDescent="0.1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spans="1:27" ht="21" customHeight="1" x14ac:dyDescent="0.1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spans="1:27" ht="21" customHeight="1" x14ac:dyDescent="0.1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spans="1:27" ht="21" customHeight="1" x14ac:dyDescent="0.1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spans="1:27" ht="21" customHeight="1" x14ac:dyDescent="0.1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spans="1:27" ht="21" customHeight="1" x14ac:dyDescent="0.1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spans="1:27" ht="21" customHeight="1" x14ac:dyDescent="0.1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spans="1:27" ht="21" customHeight="1" x14ac:dyDescent="0.1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spans="1:27" ht="21" customHeight="1" x14ac:dyDescent="0.1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spans="1:27" ht="21" customHeight="1" x14ac:dyDescent="0.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spans="1:27" ht="21" customHeight="1" x14ac:dyDescent="0.1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spans="1:27" ht="21" customHeight="1" x14ac:dyDescent="0.1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spans="1:27" ht="21" customHeight="1" x14ac:dyDescent="0.1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spans="1:27" ht="21" customHeight="1" x14ac:dyDescent="0.1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spans="1:27" ht="21" customHeight="1" x14ac:dyDescent="0.1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spans="1:27" ht="21" customHeight="1" x14ac:dyDescent="0.1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spans="1:27" ht="21" customHeight="1" x14ac:dyDescent="0.1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spans="1:27" ht="21" customHeight="1" x14ac:dyDescent="0.1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spans="1:27" ht="21" customHeight="1" x14ac:dyDescent="0.1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spans="1:27" ht="21" customHeight="1" x14ac:dyDescent="0.1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spans="1:27" ht="21" customHeight="1" x14ac:dyDescent="0.1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spans="1:27" ht="21" customHeight="1" x14ac:dyDescent="0.1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spans="1:27" ht="21" customHeight="1" x14ac:dyDescent="0.1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spans="1:27" ht="21" customHeight="1" x14ac:dyDescent="0.1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spans="1:27" ht="21" customHeight="1" x14ac:dyDescent="0.1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spans="1:27" ht="21" customHeight="1" x14ac:dyDescent="0.1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spans="1:27" ht="21" customHeight="1" x14ac:dyDescent="0.1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spans="1:27" ht="21" customHeight="1" x14ac:dyDescent="0.1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spans="1:27" ht="21" customHeight="1" x14ac:dyDescent="0.1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spans="1:27" ht="21" customHeight="1" x14ac:dyDescent="0.1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spans="1:27" ht="21" customHeight="1" x14ac:dyDescent="0.1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spans="1:27" ht="21" customHeight="1" x14ac:dyDescent="0.1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spans="1:27" ht="21" customHeight="1" x14ac:dyDescent="0.1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spans="1:27" ht="21" customHeight="1" x14ac:dyDescent="0.1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spans="1:27" ht="21" customHeight="1" x14ac:dyDescent="0.1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spans="1:27" ht="21" customHeight="1" x14ac:dyDescent="0.1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spans="1:27" ht="21" customHeight="1" x14ac:dyDescent="0.1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spans="1:27" ht="21" customHeight="1" x14ac:dyDescent="0.1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spans="1:27" ht="21" customHeight="1" x14ac:dyDescent="0.1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spans="1:27" ht="21" customHeight="1" x14ac:dyDescent="0.1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spans="1:27" ht="21" customHeight="1" x14ac:dyDescent="0.1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spans="1:27" ht="21" customHeight="1" x14ac:dyDescent="0.1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spans="1:27" ht="21" customHeight="1" x14ac:dyDescent="0.1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spans="1:27" ht="21" customHeight="1" x14ac:dyDescent="0.1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spans="1:27" ht="21" customHeight="1" x14ac:dyDescent="0.1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spans="1:27" ht="21" customHeight="1" x14ac:dyDescent="0.1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spans="1:27" ht="21" customHeight="1" x14ac:dyDescent="0.1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spans="1:27" ht="21" customHeight="1" x14ac:dyDescent="0.1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spans="1:27" ht="21" customHeight="1" x14ac:dyDescent="0.1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spans="1:27" ht="21" customHeight="1" x14ac:dyDescent="0.1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spans="1:27" ht="21" customHeight="1" x14ac:dyDescent="0.1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spans="1:27" ht="21" customHeight="1" x14ac:dyDescent="0.1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spans="1:27" ht="21" customHeight="1" x14ac:dyDescent="0.1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spans="1:27" ht="21" customHeight="1" x14ac:dyDescent="0.1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spans="1:27" ht="21" customHeight="1" x14ac:dyDescent="0.1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spans="1:27" ht="21" customHeight="1" x14ac:dyDescent="0.1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spans="1:27" ht="21" customHeight="1" x14ac:dyDescent="0.1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spans="1:27" ht="21" customHeight="1" x14ac:dyDescent="0.1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spans="1:27" ht="21" customHeight="1" x14ac:dyDescent="0.1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spans="1:27" ht="21" customHeight="1" x14ac:dyDescent="0.1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spans="1:27" ht="21" customHeight="1" x14ac:dyDescent="0.1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spans="1:27" ht="21" customHeight="1" x14ac:dyDescent="0.1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spans="1:27" ht="21" customHeight="1" x14ac:dyDescent="0.1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spans="1:27" ht="21" customHeight="1" x14ac:dyDescent="0.1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spans="1:27" ht="21" customHeight="1" x14ac:dyDescent="0.1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spans="1:27" ht="21" customHeight="1" x14ac:dyDescent="0.1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spans="1:27" ht="21" customHeight="1" x14ac:dyDescent="0.1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spans="1:27" ht="21" customHeight="1" x14ac:dyDescent="0.1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spans="1:27" ht="21" customHeight="1" x14ac:dyDescent="0.1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spans="1:27" ht="21" customHeight="1" x14ac:dyDescent="0.1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spans="1:27" ht="21" customHeight="1" x14ac:dyDescent="0.1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spans="1:27" ht="21" customHeight="1" x14ac:dyDescent="0.1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spans="1:27" ht="21" customHeight="1" x14ac:dyDescent="0.1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spans="1:27" ht="21" customHeight="1" x14ac:dyDescent="0.1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spans="1:27" ht="21" customHeight="1" x14ac:dyDescent="0.1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spans="1:27" ht="21" customHeight="1" x14ac:dyDescent="0.1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spans="1:27" ht="21" customHeight="1" x14ac:dyDescent="0.1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spans="1:27" ht="21" customHeight="1" x14ac:dyDescent="0.1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spans="1:27" ht="21" customHeight="1" x14ac:dyDescent="0.1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spans="1:27" ht="21" customHeight="1" x14ac:dyDescent="0.1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spans="1:27" ht="21" customHeight="1" x14ac:dyDescent="0.1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spans="1:27" ht="21" customHeight="1" x14ac:dyDescent="0.1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spans="1:27" ht="21" customHeight="1" x14ac:dyDescent="0.1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spans="1:27" ht="21" customHeight="1" x14ac:dyDescent="0.1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spans="1:27" ht="21" customHeight="1" x14ac:dyDescent="0.1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spans="1:27" ht="21" customHeight="1" x14ac:dyDescent="0.1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spans="1:27" ht="21" customHeight="1" x14ac:dyDescent="0.1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spans="1:27" ht="21" customHeight="1" x14ac:dyDescent="0.1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spans="1:27" ht="21" customHeight="1" x14ac:dyDescent="0.1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spans="1:27" ht="21" customHeight="1" x14ac:dyDescent="0.1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spans="1:27" ht="21" customHeight="1" x14ac:dyDescent="0.1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spans="1:27" ht="21" customHeight="1" x14ac:dyDescent="0.1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spans="1:27" ht="21" customHeight="1" x14ac:dyDescent="0.1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spans="1:27" ht="21" customHeight="1" x14ac:dyDescent="0.1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spans="1:27" ht="21" customHeight="1" x14ac:dyDescent="0.1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spans="1:27" ht="21" customHeight="1" x14ac:dyDescent="0.1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spans="1:27" ht="21" customHeight="1" x14ac:dyDescent="0.1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spans="1:27" ht="21" customHeight="1" x14ac:dyDescent="0.1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spans="1:27" ht="21" customHeight="1" x14ac:dyDescent="0.1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spans="1:27" ht="21" customHeight="1" x14ac:dyDescent="0.1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spans="1:27" ht="21" customHeight="1" x14ac:dyDescent="0.1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spans="1:27" ht="21" customHeight="1" x14ac:dyDescent="0.1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spans="1:27" ht="21" customHeight="1" x14ac:dyDescent="0.1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spans="1:27" ht="21" customHeight="1" x14ac:dyDescent="0.1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spans="1:27" ht="21" customHeight="1" x14ac:dyDescent="0.1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spans="1:27" ht="21" customHeight="1" x14ac:dyDescent="0.1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spans="1:27" ht="21" customHeight="1" x14ac:dyDescent="0.1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spans="1:27" ht="21" customHeight="1" x14ac:dyDescent="0.1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spans="1:27" ht="21" customHeight="1" x14ac:dyDescent="0.1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spans="1:27" ht="21" customHeight="1" x14ac:dyDescent="0.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spans="1:27" ht="21" customHeight="1" x14ac:dyDescent="0.1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spans="1:27" ht="21" customHeight="1" x14ac:dyDescent="0.1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spans="1:27" ht="21" customHeight="1" x14ac:dyDescent="0.1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spans="1:27" ht="21" customHeight="1" x14ac:dyDescent="0.1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spans="1:27" ht="21" customHeight="1" x14ac:dyDescent="0.1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spans="1:27" ht="21" customHeight="1" x14ac:dyDescent="0.1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spans="1:27" ht="21" customHeight="1" x14ac:dyDescent="0.1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spans="1:27" ht="21" customHeight="1" x14ac:dyDescent="0.1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spans="1:27" ht="21" customHeight="1" x14ac:dyDescent="0.1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spans="1:27" ht="21" customHeight="1" x14ac:dyDescent="0.1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spans="1:27" ht="21" customHeight="1" x14ac:dyDescent="0.1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spans="1:27" ht="21" customHeight="1" x14ac:dyDescent="0.1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spans="1:27" ht="21" customHeight="1" x14ac:dyDescent="0.1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spans="1:27" ht="21" customHeight="1" x14ac:dyDescent="0.1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spans="1:27" ht="21" customHeight="1" x14ac:dyDescent="0.1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spans="1:27" ht="21" customHeight="1" x14ac:dyDescent="0.1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spans="1:27" ht="21" customHeight="1" x14ac:dyDescent="0.1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spans="1:27" ht="21" customHeight="1" x14ac:dyDescent="0.1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spans="1:27" ht="21" customHeight="1" x14ac:dyDescent="0.1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spans="1:27" ht="21" customHeight="1" x14ac:dyDescent="0.1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spans="1:27" ht="21" customHeight="1" x14ac:dyDescent="0.1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spans="1:27" ht="21" customHeight="1" x14ac:dyDescent="0.1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spans="1:27" ht="21" customHeight="1" x14ac:dyDescent="0.1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spans="1:27" ht="21" customHeight="1" x14ac:dyDescent="0.1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spans="1:27" ht="21" customHeight="1" x14ac:dyDescent="0.1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spans="1:27" ht="21" customHeight="1" x14ac:dyDescent="0.1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spans="1:27" ht="21" customHeight="1" x14ac:dyDescent="0.1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spans="1:27" ht="21" customHeight="1" x14ac:dyDescent="0.1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spans="1:27" ht="21" customHeight="1" x14ac:dyDescent="0.1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spans="1:27" ht="21" customHeight="1" x14ac:dyDescent="0.1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spans="1:27" ht="21" customHeight="1" x14ac:dyDescent="0.1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spans="1:27" ht="21" customHeight="1" x14ac:dyDescent="0.1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spans="1:27" ht="21" customHeight="1" x14ac:dyDescent="0.1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spans="1:27" ht="21" customHeight="1" x14ac:dyDescent="0.1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spans="1:27" ht="21" customHeight="1" x14ac:dyDescent="0.1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spans="1:27" ht="21" customHeight="1" x14ac:dyDescent="0.1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spans="1:27" ht="21" customHeight="1" x14ac:dyDescent="0.1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spans="1:27" ht="21" customHeight="1" x14ac:dyDescent="0.1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spans="1:27" ht="21" customHeight="1" x14ac:dyDescent="0.1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spans="1:27" ht="21" customHeight="1" x14ac:dyDescent="0.1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spans="1:27" ht="21" customHeight="1" x14ac:dyDescent="0.1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spans="1:27" ht="21" customHeight="1" x14ac:dyDescent="0.1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spans="1:27" ht="21" customHeight="1" x14ac:dyDescent="0.1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spans="1:27" ht="21" customHeight="1" x14ac:dyDescent="0.1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spans="1:27" ht="21" customHeight="1" x14ac:dyDescent="0.1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spans="1:27" ht="21" customHeight="1" x14ac:dyDescent="0.1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spans="1:27" ht="21" customHeight="1" x14ac:dyDescent="0.1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spans="1:27" ht="21" customHeight="1" x14ac:dyDescent="0.1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spans="1:27" ht="21" customHeight="1" x14ac:dyDescent="0.1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spans="1:27" ht="21" customHeight="1" x14ac:dyDescent="0.1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spans="1:27" ht="21" customHeight="1" x14ac:dyDescent="0.1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spans="1:27" ht="21" customHeight="1" x14ac:dyDescent="0.1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spans="1:27" ht="21" customHeight="1" x14ac:dyDescent="0.1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spans="1:27" ht="21" customHeight="1" x14ac:dyDescent="0.1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spans="1:27" ht="21" customHeight="1" x14ac:dyDescent="0.1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spans="1:27" ht="21" customHeight="1" x14ac:dyDescent="0.1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spans="1:27" ht="21" customHeight="1" x14ac:dyDescent="0.1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spans="1:27" ht="21" customHeight="1" x14ac:dyDescent="0.1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spans="1:27" ht="21" customHeight="1" x14ac:dyDescent="0.1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spans="1:27" ht="21" customHeight="1" x14ac:dyDescent="0.1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spans="1:27" ht="21" customHeight="1" x14ac:dyDescent="0.1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spans="1:27" ht="21" customHeight="1" x14ac:dyDescent="0.1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spans="1:27" ht="21" customHeight="1" x14ac:dyDescent="0.1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spans="1:27" ht="21" customHeight="1" x14ac:dyDescent="0.1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spans="1:27" ht="21" customHeight="1" x14ac:dyDescent="0.1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spans="1:27" ht="21" customHeight="1" x14ac:dyDescent="0.1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spans="1:27" ht="21" customHeight="1" x14ac:dyDescent="0.1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spans="1:27" ht="21" customHeight="1" x14ac:dyDescent="0.1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spans="1:27" ht="21" customHeight="1" x14ac:dyDescent="0.1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spans="1:27" ht="21" customHeight="1" x14ac:dyDescent="0.1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spans="1:27" ht="21" customHeight="1" x14ac:dyDescent="0.1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spans="1:27" ht="21" customHeight="1" x14ac:dyDescent="0.1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spans="1:27" ht="21" customHeight="1" x14ac:dyDescent="0.1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spans="1:27" ht="21" customHeight="1" x14ac:dyDescent="0.1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spans="1:27" ht="21" customHeight="1" x14ac:dyDescent="0.1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spans="1:27" ht="21" customHeight="1" x14ac:dyDescent="0.1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spans="1:27" ht="21" customHeight="1" x14ac:dyDescent="0.1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spans="1:27" ht="21" customHeight="1" x14ac:dyDescent="0.1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spans="1:27" ht="21" customHeight="1" x14ac:dyDescent="0.1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spans="1:27" ht="21" customHeight="1" x14ac:dyDescent="0.1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spans="1:27" ht="21" customHeight="1" x14ac:dyDescent="0.1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spans="1:27" ht="21" customHeight="1" x14ac:dyDescent="0.1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spans="1:27" ht="21" customHeight="1" x14ac:dyDescent="0.1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spans="1:27" ht="21" customHeight="1" x14ac:dyDescent="0.1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spans="1:27" ht="21" customHeight="1" x14ac:dyDescent="0.1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spans="1:27" ht="21" customHeight="1" x14ac:dyDescent="0.1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spans="1:27" ht="21" customHeight="1" x14ac:dyDescent="0.1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spans="1:27" ht="21" customHeight="1" x14ac:dyDescent="0.1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spans="1:27" ht="21" customHeight="1" x14ac:dyDescent="0.1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spans="1:27" ht="21" customHeight="1" x14ac:dyDescent="0.1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spans="1:27" ht="21" customHeight="1" x14ac:dyDescent="0.1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spans="1:27" ht="21" customHeight="1" x14ac:dyDescent="0.1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spans="1:27" ht="21" customHeight="1" x14ac:dyDescent="0.1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spans="1:27" ht="21" customHeight="1" x14ac:dyDescent="0.1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spans="1:27" ht="21" customHeight="1" x14ac:dyDescent="0.1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spans="1:27" ht="21" customHeight="1" x14ac:dyDescent="0.1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spans="1:27" ht="21" customHeight="1" x14ac:dyDescent="0.1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spans="1:27" ht="21" customHeight="1" x14ac:dyDescent="0.1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spans="1:27" ht="21" customHeight="1" x14ac:dyDescent="0.1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spans="1:27" ht="21" customHeight="1" x14ac:dyDescent="0.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spans="1:27" ht="21" customHeight="1" x14ac:dyDescent="0.1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spans="1:27" ht="21" customHeight="1" x14ac:dyDescent="0.1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spans="1:27" ht="21" customHeight="1" x14ac:dyDescent="0.1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spans="1:27" ht="21" customHeight="1" x14ac:dyDescent="0.1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spans="1:27" ht="21" customHeight="1" x14ac:dyDescent="0.1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spans="1:27" ht="21" customHeight="1" x14ac:dyDescent="0.1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spans="1:27" ht="21" customHeight="1" x14ac:dyDescent="0.1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spans="1:27" ht="21" customHeight="1" x14ac:dyDescent="0.1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spans="1:27" ht="21" customHeight="1" x14ac:dyDescent="0.1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spans="1:27" ht="21" customHeight="1" x14ac:dyDescent="0.1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spans="1:27" ht="21" customHeight="1" x14ac:dyDescent="0.1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spans="1:27" ht="21" customHeight="1" x14ac:dyDescent="0.1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spans="1:27" ht="21" customHeight="1" x14ac:dyDescent="0.1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spans="1:27" ht="21" customHeight="1" x14ac:dyDescent="0.1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spans="1:27" ht="21" customHeight="1" x14ac:dyDescent="0.1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spans="1:27" ht="21" customHeight="1" x14ac:dyDescent="0.1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spans="1:27" ht="21" customHeight="1" x14ac:dyDescent="0.1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spans="1:27" ht="21" customHeight="1" x14ac:dyDescent="0.1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spans="1:27" ht="21" customHeight="1" x14ac:dyDescent="0.1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spans="1:27" ht="21" customHeight="1" x14ac:dyDescent="0.1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spans="1:27" ht="21" customHeight="1" x14ac:dyDescent="0.1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spans="1:27" ht="21" customHeight="1" x14ac:dyDescent="0.1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spans="1:27" ht="21" customHeight="1" x14ac:dyDescent="0.1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spans="1:27" ht="21" customHeight="1" x14ac:dyDescent="0.1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spans="1:27" ht="21" customHeight="1" x14ac:dyDescent="0.1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spans="1:27" ht="21" customHeight="1" x14ac:dyDescent="0.1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spans="1:27" ht="21" customHeight="1" x14ac:dyDescent="0.1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spans="1:27" ht="21" customHeight="1" x14ac:dyDescent="0.1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spans="1:27" ht="21" customHeight="1" x14ac:dyDescent="0.1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spans="1:27" ht="21" customHeight="1" x14ac:dyDescent="0.1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spans="1:27" ht="21" customHeight="1" x14ac:dyDescent="0.1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spans="1:27" ht="21" customHeight="1" x14ac:dyDescent="0.1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spans="1:27" ht="21" customHeight="1" x14ac:dyDescent="0.1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spans="1:27" ht="21" customHeight="1" x14ac:dyDescent="0.1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spans="1:27" ht="21" customHeight="1" x14ac:dyDescent="0.1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spans="1:27" ht="21" customHeight="1" x14ac:dyDescent="0.1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spans="1:27" ht="21" customHeight="1" x14ac:dyDescent="0.1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spans="1:27" ht="21" customHeight="1" x14ac:dyDescent="0.1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spans="1:27" ht="21" customHeight="1" x14ac:dyDescent="0.1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spans="1:27" ht="21" customHeight="1" x14ac:dyDescent="0.1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spans="1:27" ht="21" customHeight="1" x14ac:dyDescent="0.1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spans="1:27" ht="21" customHeight="1" x14ac:dyDescent="0.1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spans="1:27" ht="21" customHeight="1" x14ac:dyDescent="0.1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spans="1:27" ht="21" customHeight="1" x14ac:dyDescent="0.1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spans="1:27" ht="21" customHeight="1" x14ac:dyDescent="0.1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spans="1:27" ht="21" customHeight="1" x14ac:dyDescent="0.1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spans="1:27" ht="21" customHeight="1" x14ac:dyDescent="0.1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spans="1:27" ht="21" customHeight="1" x14ac:dyDescent="0.1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spans="1:27" ht="21" customHeight="1" x14ac:dyDescent="0.1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spans="1:27" ht="21" customHeight="1" x14ac:dyDescent="0.1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spans="1:27" ht="21" customHeight="1" x14ac:dyDescent="0.1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spans="1:27" ht="21" customHeight="1" x14ac:dyDescent="0.1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spans="1:27" ht="21" customHeight="1" x14ac:dyDescent="0.1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spans="1:27" ht="21" customHeight="1" x14ac:dyDescent="0.1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spans="1:27" ht="21" customHeight="1" x14ac:dyDescent="0.1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spans="1:27" ht="21" customHeight="1" x14ac:dyDescent="0.1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spans="1:27" ht="21" customHeight="1" x14ac:dyDescent="0.1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spans="1:27" ht="21" customHeight="1" x14ac:dyDescent="0.1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spans="1:27" ht="21" customHeight="1" x14ac:dyDescent="0.1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spans="1:27" ht="21" customHeight="1" x14ac:dyDescent="0.1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spans="1:27" ht="21" customHeight="1" x14ac:dyDescent="0.1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spans="1:27" ht="21" customHeight="1" x14ac:dyDescent="0.1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spans="1:27" ht="21" customHeight="1" x14ac:dyDescent="0.1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spans="1:27" ht="21" customHeight="1" x14ac:dyDescent="0.1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spans="1:27" ht="21" customHeight="1" x14ac:dyDescent="0.1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spans="1:27" ht="21" customHeight="1" x14ac:dyDescent="0.1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spans="1:27" ht="21" customHeight="1" x14ac:dyDescent="0.1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spans="1:27" ht="21" customHeight="1" x14ac:dyDescent="0.1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spans="1:27" ht="21" customHeight="1" x14ac:dyDescent="0.1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spans="1:27" ht="21" customHeight="1" x14ac:dyDescent="0.1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spans="1:27" ht="21" customHeight="1" x14ac:dyDescent="0.1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spans="1:27" ht="21" customHeight="1" x14ac:dyDescent="0.1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spans="1:27" ht="21" customHeight="1" x14ac:dyDescent="0.1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spans="1:27" ht="21" customHeight="1" x14ac:dyDescent="0.1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spans="1:27" ht="21" customHeight="1" x14ac:dyDescent="0.1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spans="1:27" ht="21" customHeight="1" x14ac:dyDescent="0.1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spans="1:27" ht="21" customHeight="1" x14ac:dyDescent="0.1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spans="1:27" ht="21" customHeight="1" x14ac:dyDescent="0.1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spans="1:27" ht="21" customHeight="1" x14ac:dyDescent="0.1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spans="1:27" ht="21" customHeight="1" x14ac:dyDescent="0.1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spans="1:27" ht="21" customHeight="1" x14ac:dyDescent="0.1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spans="1:27" ht="21" customHeight="1" x14ac:dyDescent="0.1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spans="1:27" ht="21" customHeight="1" x14ac:dyDescent="0.1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spans="1:27" ht="21" customHeight="1" x14ac:dyDescent="0.1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spans="1:27" ht="21" customHeight="1" x14ac:dyDescent="0.1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sheetData>
  <mergeCells count="3">
    <mergeCell ref="B2:C2"/>
    <mergeCell ref="E2:F2"/>
    <mergeCell ref="B16:C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Customers Data</vt:lpstr>
      <vt:lpstr>Chart Data</vt:lpstr>
      <vt:lpstr>Sheet1</vt:lpstr>
      <vt:lpstr>Setup</vt:lpstr>
      <vt:lpstr>scratch</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icob</dc:creator>
  <cp:lastModifiedBy>pat escalona</cp:lastModifiedBy>
  <dcterms:created xsi:type="dcterms:W3CDTF">2023-11-25T08:33:07Z</dcterms:created>
  <dcterms:modified xsi:type="dcterms:W3CDTF">2025-11-05T12:43:48Z</dcterms:modified>
</cp:coreProperties>
</file>